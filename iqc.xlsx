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BLT SKD kits transaction\Consolidated failures\"/>
    </mc:Choice>
  </mc:AlternateContent>
  <xr:revisionPtr revIDLastSave="0" documentId="13_ncr:1_{DDC72C78-F7BA-4A3C-AF1D-FB67BF713576}" xr6:coauthVersionLast="47" xr6:coauthVersionMax="47" xr10:uidLastSave="{00000000-0000-0000-0000-000000000000}"/>
  <bookViews>
    <workbookView xWindow="-120" yWindow="-120" windowWidth="20730" windowHeight="11040" tabRatio="847" activeTab="1" xr2:uid="{00000000-000D-0000-FFFF-FFFF00000000}"/>
  </bookViews>
  <sheets>
    <sheet name="Summary of SKD Kits Pendings " sheetId="5" r:id="rId1"/>
    <sheet name="PIVOT" sheetId="14" r:id="rId2"/>
    <sheet name="Summary Spares pendings" sheetId="13" r:id="rId3"/>
    <sheet name="TS-III overall Report " sheetId="2" state="hidden" r:id="rId4"/>
    <sheet name="TS-III Basic SKD Issues" sheetId="4" r:id="rId5"/>
    <sheet name="TS-III Analog SKD issues" sheetId="8" r:id="rId6"/>
    <sheet name="TS-III Nellcor SKD issues" sheetId="9" r:id="rId7"/>
    <sheet name="Q5 Digital SKD issues" sheetId="6" r:id="rId8"/>
    <sheet name="Q5 Nellcor SKD issues" sheetId="7" r:id="rId9"/>
    <sheet name="M10 SKD issues" sheetId="11" r:id="rId10"/>
    <sheet name="Replacement Rejection" sheetId="12" r:id="rId11"/>
  </sheets>
  <definedNames>
    <definedName name="_xlnm._FilterDatabase" localSheetId="10" hidden="1">'Replacement Rejection'!$A$1:$G$5</definedName>
    <definedName name="_xlnm._FilterDatabase" localSheetId="0" hidden="1">'Summary of SKD Kits Pendings '!$A$1:$H$11</definedName>
    <definedName name="_xlnm._FilterDatabase" localSheetId="2" hidden="1">'Summary Spares pendings'!$A$1:$K$59</definedName>
    <definedName name="_xlnm._FilterDatabase" localSheetId="5" hidden="1">'TS-III Analog SKD issues'!$A$1:$H$1</definedName>
    <definedName name="_xlnm._FilterDatabase" localSheetId="4" hidden="1">'TS-III Basic SKD Issues'!$A$1:$H$2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3" l="1"/>
  <c r="E59" i="13"/>
  <c r="F59" i="13"/>
  <c r="K48" i="13"/>
  <c r="K32" i="13"/>
  <c r="K19" i="13"/>
  <c r="K35" i="13"/>
  <c r="K49" i="13"/>
  <c r="K53" i="13"/>
  <c r="K47" i="13"/>
  <c r="K4" i="13"/>
  <c r="K2" i="13"/>
  <c r="H3" i="5"/>
  <c r="H4" i="5"/>
  <c r="H5" i="5"/>
  <c r="H6" i="5"/>
  <c r="H7" i="5"/>
  <c r="H8" i="5"/>
  <c r="H9" i="5"/>
  <c r="H10" i="5"/>
  <c r="H2" i="5"/>
  <c r="E11" i="5"/>
  <c r="D11" i="5"/>
  <c r="D17" i="2" l="1"/>
  <c r="D16" i="2"/>
  <c r="D15" i="2"/>
  <c r="D14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<sst xmlns="http://schemas.openxmlformats.org/spreadsheetml/2006/main" count="554" uniqueCount="263">
  <si>
    <t>Model</t>
  </si>
  <si>
    <t>BLT Invoice No.</t>
  </si>
  <si>
    <t>Received Date</t>
  </si>
  <si>
    <t>Received Qty</t>
  </si>
  <si>
    <t>Problem QTY</t>
  </si>
  <si>
    <t>Problem reported date to BLT</t>
  </si>
  <si>
    <t>Tsruscope III- Basic</t>
  </si>
  <si>
    <t>24ZXS121903</t>
  </si>
  <si>
    <t>25ZXS030401</t>
  </si>
  <si>
    <t>Truscope III- Analog</t>
  </si>
  <si>
    <t>25ZXS022001</t>
  </si>
  <si>
    <t>25ZXS041102</t>
  </si>
  <si>
    <t>25/04/2025</t>
  </si>
  <si>
    <t>Truscope III -Nellcor</t>
  </si>
  <si>
    <t>Truscope M10  with Touch</t>
  </si>
  <si>
    <t>24ZXS101501</t>
  </si>
  <si>
    <t>Truscope M10</t>
  </si>
  <si>
    <t>24ZXS112101</t>
  </si>
  <si>
    <t>28-12-2024</t>
  </si>
  <si>
    <t>Truscope Ultra Q5 - Digital</t>
  </si>
  <si>
    <t>25ZXS020901</t>
  </si>
  <si>
    <t>Truscope Ultra Q5 - Nellcor</t>
  </si>
  <si>
    <t>25ZXS041402</t>
  </si>
  <si>
    <t>25ZXS031103</t>
  </si>
  <si>
    <t>Total</t>
  </si>
  <si>
    <t>Schiller Received Date</t>
  </si>
  <si>
    <t xml:space="preserve">Defective Qty in Production </t>
  </si>
  <si>
    <t>TSIII- Baisc  Qty- 500</t>
  </si>
  <si>
    <t>24ZXS080101-1 &amp; 24ZXS080101-2</t>
  </si>
  <si>
    <t>TSIII - Upgradable Qty-50</t>
  </si>
  <si>
    <t>24ZXS080102-1 &amp; 24ZXS080102-3</t>
  </si>
  <si>
    <t>TSIII -Nellcor  Upgradable Qty-100</t>
  </si>
  <si>
    <t>24ZXS090302-1 &amp;  
24ZXS090302-3</t>
  </si>
  <si>
    <t>Truscope - M10 Qty-450 (435 + 15 VGA)</t>
  </si>
  <si>
    <t>24-09-2024
10-10-2024</t>
  </si>
  <si>
    <t>24ZXS090301-2 &amp; 
24ZXS090301-1</t>
  </si>
  <si>
    <t>Truscope III- upgradable Qty-100 (Analog)</t>
  </si>
  <si>
    <t>22-10-2024     
19-10-2024</t>
  </si>
  <si>
    <t>24ZXS100901-1 &amp; 
24ZXS100901-3</t>
  </si>
  <si>
    <t>Truscope III- upgradable  Qty-100 (Nellcor)</t>
  </si>
  <si>
    <t>24ZXS100901-3</t>
  </si>
  <si>
    <t>Truscope - M10  Qty-50 Nos (with Touch)</t>
  </si>
  <si>
    <t>24ZXS101501-1 &amp; 
24ZXS101501-2</t>
  </si>
  <si>
    <t xml:space="preserve">TSIII- Baisc Qty-500 (Non upgradable) </t>
  </si>
  <si>
    <t>24ZXS092401-1 &amp; 
24ZXS092401-3</t>
  </si>
  <si>
    <t>Truscope Ultra Q5  Qty-50 Nos (Digital)</t>
  </si>
  <si>
    <t>24ZX102101-3 &amp; 
24ZX102101-1</t>
  </si>
  <si>
    <t>Truscope III- upgradable 
Qty-100 (Analog)</t>
  </si>
  <si>
    <t>24ZXS110505-1 &amp; 
24ZXS110505-3</t>
  </si>
  <si>
    <t>TS III -Nellcor  Qty-50 Nos</t>
  </si>
  <si>
    <t>24ZXS111502-3</t>
  </si>
  <si>
    <t>Ultra Q5 
Received Qty-100 Nos</t>
  </si>
  <si>
    <t>24ZXS123001-3 &amp; 
24ZXS123001-1</t>
  </si>
  <si>
    <t>TS III -Nellcor Upgradable
Qty-200 Nos</t>
  </si>
  <si>
    <t>10-01-2025
18-01-2025</t>
  </si>
  <si>
    <t>24ZXS123101-3 &amp; 24ZXS123101-1</t>
  </si>
  <si>
    <t xml:space="preserve">TS III - Masimo
Qty - 15 </t>
  </si>
  <si>
    <t>24ZXS123101-3</t>
  </si>
  <si>
    <t>24ZXS123101-1</t>
  </si>
  <si>
    <t>24ZXS123101-2</t>
  </si>
  <si>
    <t xml:space="preserve">Truscope III Qty-500 (485 +15) with VGA
</t>
  </si>
  <si>
    <t>24ZXS121903-1
24ZXS121903-3</t>
  </si>
  <si>
    <t>Truscope M10 Qty - 500 (460+25+15)</t>
  </si>
  <si>
    <t>24ZXS112101-2
24ZXS112101-1</t>
  </si>
  <si>
    <t>Total SKD kits cannot be make saleable</t>
  </si>
  <si>
    <t>P/N</t>
  </si>
  <si>
    <t>Defective Item</t>
  </si>
  <si>
    <t>Description</t>
  </si>
  <si>
    <t>Failure Qty</t>
  </si>
  <si>
    <t>Rejection folder</t>
  </si>
  <si>
    <t>Final Remarks</t>
  </si>
  <si>
    <t>60.000743A</t>
  </si>
  <si>
    <t>Battery lock of TS III</t>
  </si>
  <si>
    <t>60.000856A</t>
  </si>
  <si>
    <t>60.000851A</t>
  </si>
  <si>
    <t>Power source assembly frame</t>
  </si>
  <si>
    <t>60.000850A</t>
  </si>
  <si>
    <t>60.000840A</t>
  </si>
  <si>
    <t>Front cabinet(cabinet assembly)</t>
  </si>
  <si>
    <t>60.000802A</t>
  </si>
  <si>
    <t>LCD assembly</t>
  </si>
  <si>
    <t>Battery</t>
  </si>
  <si>
    <t>60.000858A</t>
  </si>
  <si>
    <t>Back cabinet(cabinet assembly)</t>
  </si>
  <si>
    <t>Back Cabinet -6 nos</t>
  </si>
  <si>
    <t>https://drive.google.com/drive/folders/1pg-jIfE0mhG1j6UMY4w6Y3Xs1FCXbMDi</t>
  </si>
  <si>
    <t>Not Dispatched</t>
  </si>
  <si>
    <t>Front Cabinet - 2 nos</t>
  </si>
  <si>
    <t>LCD -3 nos.
Backlight cable - 1 No</t>
  </si>
  <si>
    <t xml:space="preserve">Power source assembly frame </t>
  </si>
  <si>
    <t>Frame - 4 nos
Battery - 1no
Battery lock-1no
power source sticker -1no</t>
  </si>
  <si>
    <t>Side Plate Assy(2-IBP 1-TEMP with Analog SpO2)</t>
  </si>
  <si>
    <t>Analog Module - 2
Spo2 DOC10 Socket - 3
Side plate sticker - 1no</t>
  </si>
  <si>
    <t>Digital BM-100A module with SpO2</t>
  </si>
  <si>
    <t>BM100A Module - 1 no</t>
  </si>
  <si>
    <t>50.000302A</t>
  </si>
  <si>
    <t>SMPS module</t>
  </si>
  <si>
    <t>SMPS Module-1</t>
  </si>
  <si>
    <t>MB350 arm board assembly</t>
  </si>
  <si>
    <t>IO Board -3 Nos.</t>
  </si>
  <si>
    <t>15-100-0349</t>
  </si>
  <si>
    <t>Analog spo2 extension cable</t>
  </si>
  <si>
    <t>Spo2 extension cable - 3 nos</t>
  </si>
  <si>
    <t>Serial No./Lot No.</t>
  </si>
  <si>
    <t>Rejection Images</t>
  </si>
  <si>
    <t>60.000843A</t>
  </si>
  <si>
    <t>60.000854A</t>
  </si>
  <si>
    <t>Power source assembly frame with VGA-TS III</t>
  </si>
  <si>
    <t>60.000843V</t>
  </si>
  <si>
    <t>MB350 arm board assembly with VGA-TS III</t>
  </si>
  <si>
    <t>60.000841V</t>
  </si>
  <si>
    <t>60.000859A</t>
  </si>
  <si>
    <t>Side Plate Assembly(2-IBP; 2-TEMP,analog spo2)</t>
  </si>
  <si>
    <t>60.000857A</t>
  </si>
  <si>
    <t>Digital BM-100A module</t>
  </si>
  <si>
    <t>SpO2 Waveform not coming - 2 Nos</t>
  </si>
  <si>
    <t>Spo2 DOC10 socket -2 Nos</t>
  </si>
  <si>
    <t>09ZD0004403, 09ZD0004830</t>
  </si>
  <si>
    <t>https://drive.google.com/drive/folders/1jMYEWMX8A0rotngfutG1f6U1s8sJxK_m</t>
  </si>
  <si>
    <t>SpO2 Base line not Coming - 1No.</t>
  </si>
  <si>
    <t>00ZE0000245</t>
  </si>
  <si>
    <t>Unit Not Switching On-1No</t>
  </si>
  <si>
    <t>MB350 ARM board assembly - 1 No</t>
  </si>
  <si>
    <t>AJ-D24110501</t>
  </si>
  <si>
    <t>60.000841A</t>
  </si>
  <si>
    <t>Sticker Scratch and Battery terminal Rust - 1No.
Battery terminal Rust - 3. 
Power socket bend and Battery terminal Rust -1 No.
Sticker Scratch- 2 No.
Sticker Scratch and Battery Lock Damage - 1No.</t>
  </si>
  <si>
    <t>Battery- 5 Nos. 
SOP Board Power Source Sticker - 4 Nos.
Battery Lock - 1 No.
Power source Metal frame- 1No</t>
  </si>
  <si>
    <t>⁠Dust on LCD -1 No 
⁠Dot issue-4 nos ( Green dot -1 no.Blue Dot-3).
Cable Damage-2nos ( Backlight Cable Damage - 2 nos).
LVDS Connector Damage - 2 Nos</t>
  </si>
  <si>
    <t>LCD - 5 Nos.
Backlight Cable - 2 Nos.
LVDS Cable - 2 Nos.</t>
  </si>
  <si>
    <t>NL-3U25010495, NL -3U25010883,
NL-3U25010848, NL -3U25010494,
NL -3U25010625, NL-3U25010562,
NL-3U25010929, NL-3U25010656,
NL-3U25010691</t>
  </si>
  <si>
    <t>Sillicon Keypad peeloff - 3 Nos.
Black Dot on Cabinet - 1Nos.
Printing problem in Sillicon Keypad -1
Printing issue in cabinet - 1 Nos.</t>
  </si>
  <si>
    <t>Sillicon Key Pad - 4 Nos.
Cabinet - 2 Nos.</t>
  </si>
  <si>
    <t>Inserrt Missing - 1 No.
Black Dot on Cabinet - 1No.
Cabinet Lock Damage - 1 No.</t>
  </si>
  <si>
    <t>Cabinet - 3 Nos.</t>
  </si>
  <si>
    <t>Rejection Images / Folder</t>
  </si>
  <si>
    <t>60.000844A</t>
  </si>
  <si>
    <t>Side Plate Assembly(2-IBP; 2-TEMP,Nellcor)</t>
  </si>
  <si>
    <t>Back Cabinet -1 No.</t>
  </si>
  <si>
    <t>https://drive.google.com/drive/folders/1tBpl7vX40VPHR7phk7J9pX6wQLj21FQ6</t>
  </si>
  <si>
    <t>Front Cabinet - 3Nos.
Silicon keypad - 2Nos.</t>
  </si>
  <si>
    <t>LCD -1 No.
Backlight cable - 1 No</t>
  </si>
  <si>
    <t>NL-3U24120316</t>
  </si>
  <si>
    <t xml:space="preserve">Battery lock- 4 Nos.
Power source frame - 1no
</t>
  </si>
  <si>
    <t xml:space="preserve">Side plate sticker - 4 Nos. 
Nellcor Spo2 I/F board - 2no
DOC-10 connector - 1no
</t>
  </si>
  <si>
    <t xml:space="preserve">SMPS </t>
  </si>
  <si>
    <t>SMPS Module-1 No.</t>
  </si>
  <si>
    <t>XH-1N25020133</t>
  </si>
  <si>
    <t>17ME000101</t>
  </si>
  <si>
    <t>BLT Invoice No &amp; Date</t>
  </si>
  <si>
    <t>Part description</t>
  </si>
  <si>
    <t>Problem Description</t>
  </si>
  <si>
    <t>Failure QTY</t>
  </si>
  <si>
    <t>Reference images</t>
  </si>
  <si>
    <r>
      <t xml:space="preserve">1. J-12 Connector damage - 3 Nos.
2. J-4 Connector damage - 1No.
3. Blue Line on LCD - 9 No's
4. </t>
    </r>
    <r>
      <rPr>
        <sz val="11"/>
        <color theme="1"/>
        <rFont val="Aptos narrow"/>
      </rPr>
      <t>Flickering Issue - 2 No's</t>
    </r>
  </si>
  <si>
    <t>1. Keyboard Control Board - 4 Nos.
2. LCD - 9 Nos</t>
  </si>
  <si>
    <r>
      <t>NL-3U24120711, NL-3U24121156
NL-3U24120678, NL-3U24120773
NL-3U24120869, NL-3U24120753, 
NL-3U24120707,NL-3U24120784, 
NL-3U24120706,NL-3U24120750, 
NL-3U24101066,NL-3U24120780, 
NL-3U24121154,</t>
    </r>
    <r>
      <rPr>
        <sz val="11"/>
        <rFont val="Aptos Narrow"/>
      </rPr>
      <t>NL-3U24121083, 
NL-3U24121154</t>
    </r>
  </si>
  <si>
    <t>https://drive.google.com/drive/folders/1kRoaZ3SfxQfIV2wPlYUw-e8snUHIafVV</t>
  </si>
  <si>
    <t>Double Channel slots</t>
  </si>
  <si>
    <t>1. Connector Damage - 3 nos.
2. U1 Processor burnt - 1 No.</t>
  </si>
  <si>
    <t xml:space="preserve">Double Channel slots - 4 no's </t>
  </si>
  <si>
    <t>BM100A Module with IBP - Digital</t>
  </si>
  <si>
    <t>ECG Communication Error</t>
  </si>
  <si>
    <t>BM100A module Digital with IBP - 1 no</t>
  </si>
  <si>
    <t>00ZE0000363</t>
  </si>
  <si>
    <t>Rear connector</t>
  </si>
  <si>
    <t>J-3 Connector Damege - 3Nos</t>
  </si>
  <si>
    <t>Rear connector plate - 3 no's</t>
  </si>
  <si>
    <t>Arm board assembly with power source</t>
  </si>
  <si>
    <t>1. Flickering Issue -2 No.
2. Unit Not Switching ON -1No</t>
  </si>
  <si>
    <t xml:space="preserve">Arm Board - 3 no's </t>
  </si>
  <si>
    <t>AJ-G24100445, AJ-G24010196
AJ-G24100819</t>
  </si>
  <si>
    <t xml:space="preserve"> 28-12-2024</t>
  </si>
  <si>
    <t>1.14.101-0010-00-1</t>
  </si>
  <si>
    <t>10.4' LCD</t>
  </si>
  <si>
    <t>Brightness issue</t>
  </si>
  <si>
    <t>Item No.</t>
  </si>
  <si>
    <t>Failure details</t>
  </si>
  <si>
    <t>Qty</t>
  </si>
  <si>
    <t>Import invoice &amp; Date details</t>
  </si>
  <si>
    <t>TSIII -Upgradable</t>
  </si>
  <si>
    <t>24HGZ120601 dt. 06-12-2024</t>
  </si>
  <si>
    <t xml:space="preserve">Battery lock of TS III </t>
  </si>
  <si>
    <t>Wrong item recv'd</t>
  </si>
  <si>
    <t>24HGZ121102 dt.11.12.2024</t>
  </si>
  <si>
    <t>Mini</t>
  </si>
  <si>
    <t>DIGITAL SPO2 MODULE</t>
  </si>
  <si>
    <t>Sensor not detected - Z20448737</t>
  </si>
  <si>
    <t>Received NIBP Module instead of Spo2 module</t>
  </si>
  <si>
    <t>TSIII - Upgradable</t>
  </si>
  <si>
    <t>Wrong item Rece'd</t>
  </si>
  <si>
    <t>Side connector panel problem, I/F board &amp; SPO2 Module and sticker scratches</t>
  </si>
  <si>
    <t xml:space="preserve">Analog Interface board and analog module not received. Only sticker received. </t>
  </si>
  <si>
    <t>Blue dot on LCD -1 No.</t>
  </si>
  <si>
    <t>LCD- 1 No</t>
  </si>
  <si>
    <t>NL-3U24101598</t>
  </si>
  <si>
    <t>https://drive.google.com/drive/folders/11SzOXtiEJ6XUg1wt5mj9UKHBoKGAdWAo</t>
  </si>
  <si>
    <t>Dust on sillicon keypad - 1 No</t>
  </si>
  <si>
    <t>Sillicon Keypad - 1 No</t>
  </si>
  <si>
    <t>Printing issue in Cabinet - 1 No</t>
  </si>
  <si>
    <t>Back Cabinet - 1 No</t>
  </si>
  <si>
    <t>25-04-2025</t>
  </si>
  <si>
    <t>Spares required.</t>
  </si>
  <si>
    <r>
      <rPr>
        <b/>
        <sz val="11"/>
        <rFont val="Aptos Narrow"/>
        <family val="2"/>
        <scheme val="minor"/>
      </rPr>
      <t>1. Dull display - 74No's</t>
    </r>
    <r>
      <rPr>
        <sz val="11"/>
        <rFont val="Aptos Narrow"/>
        <family val="2"/>
        <scheme val="minor"/>
      </rPr>
      <t xml:space="preserve">
2. Dot on the display.(Red, Green, Black) - 9No's
3. Rust on insert - 1No
4. Vertical line - 1No</t>
    </r>
  </si>
  <si>
    <t>Rust on battery terminal and we require battery -77 No's
Battery lock -  2 No's</t>
  </si>
  <si>
    <t>Rejection images/Folder</t>
  </si>
  <si>
    <t>Sequence number missing - 2nos</t>
  </si>
  <si>
    <t>Arm Board - 2nos.</t>
  </si>
  <si>
    <t>XH-1W24120013, 
XH-1W24120005</t>
  </si>
  <si>
    <t>https://drive.google.com/drive/folders/11m6kFc9kumNk1fr2tEAFELfp1RHi9_H2</t>
  </si>
  <si>
    <t xml:space="preserve">1. Dot issues (Black dot)  - 2nos.
2. Green dot  + Keyboard Control Board connector damage - 1 No
3.  Keyboard Control Board Connector Damage - 1 no.
4. LVDS Cable damage - 1no.
</t>
  </si>
  <si>
    <t xml:space="preserve">1. LCD - 3 No's.
2. keyboard control board - 2 No's.
3. LVDS Cable - 1 No.
</t>
  </si>
  <si>
    <t>NL-3U24100719,NL-3U24100805,
NL-3U24100796,NL-3U24101266,
NL-3U24100793</t>
  </si>
  <si>
    <t>No of days delay</t>
  </si>
  <si>
    <t>Date</t>
  </si>
  <si>
    <t>Spares required QTY</t>
  </si>
  <si>
    <t>M10</t>
  </si>
  <si>
    <t>LCD Dull Display</t>
  </si>
  <si>
    <t>24HGZ121101 dt.11.12.2024</t>
  </si>
  <si>
    <t>60.000845A</t>
  </si>
  <si>
    <t>Side Plate Assembly(2-IBP; 2-TEMP,masimo)</t>
  </si>
  <si>
    <t>Masimo module problem(Spo2 wave form not coming) and also Sticker scratches-3nos</t>
  </si>
  <si>
    <t xml:space="preserve">TS-III Masimo </t>
  </si>
  <si>
    <t>25HGZ040301 dt.03.04.2025</t>
  </si>
  <si>
    <t>Masimo module 2 no's not received instead of that, we received only the side plate</t>
  </si>
  <si>
    <t>Complete battery lock not received</t>
  </si>
  <si>
    <t>Received LCD is dull display. Need replacement</t>
  </si>
  <si>
    <t>Spares required</t>
  </si>
  <si>
    <t>Req QTY</t>
  </si>
  <si>
    <t xml:space="preserve">Battery </t>
  </si>
  <si>
    <t>Battery lock</t>
  </si>
  <si>
    <t>Back Cabinet</t>
  </si>
  <si>
    <t>LCD</t>
  </si>
  <si>
    <t>Backlight cable</t>
  </si>
  <si>
    <t>Analog Module</t>
  </si>
  <si>
    <t>Spo2 DOC10 Socket</t>
  </si>
  <si>
    <t>Side plate sticker</t>
  </si>
  <si>
    <t>SMPS Module</t>
  </si>
  <si>
    <t>Spo2 extension cable</t>
  </si>
  <si>
    <t>Spo2 DOC10 socket</t>
  </si>
  <si>
    <t>MB350 ARM board assembly</t>
  </si>
  <si>
    <t>SOP Board Power Source Sticker</t>
  </si>
  <si>
    <t>Battery Lock</t>
  </si>
  <si>
    <t>Power source Metal frame</t>
  </si>
  <si>
    <t>LVDS Cable</t>
  </si>
  <si>
    <t>Backlight Cable</t>
  </si>
  <si>
    <t xml:space="preserve">Front Cabinet </t>
  </si>
  <si>
    <t>Power source frame</t>
  </si>
  <si>
    <t>Nellcor Spo2 I/F board</t>
  </si>
  <si>
    <t>Arm Board</t>
  </si>
  <si>
    <t>keyboard control board</t>
  </si>
  <si>
    <t xml:space="preserve">Keyboard Control Board </t>
  </si>
  <si>
    <t>BM100A module Digital with IBP</t>
  </si>
  <si>
    <t xml:space="preserve">Rear connector plate </t>
  </si>
  <si>
    <t>Grand Total</t>
  </si>
  <si>
    <t>Sum of Req QTY</t>
  </si>
  <si>
    <t>TS-III</t>
  </si>
  <si>
    <t>Model2</t>
  </si>
  <si>
    <t xml:space="preserve">Silicon Keypad </t>
  </si>
  <si>
    <t>Analog BM-100A module</t>
  </si>
  <si>
    <t>Analog BM-100A module -1 No</t>
  </si>
  <si>
    <t>I/O Interface board - 1no</t>
  </si>
  <si>
    <t>IO Interface board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</si>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</sst>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[$-14009]dd/mm/yyyy;@"/>
  </numFmts>
  <fonts count="30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u/>
      <sz val="11"/>
      <color theme="1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"/>
    </font>
    <font>
      <sz val="11"/>
      <color rgb="FF0070C0"/>
      <name val="Aptos"/>
    </font>
    <font>
      <sz val="11"/>
      <name val="Aptos Narrow"/>
    </font>
    <font>
      <sz val="1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u/>
      <sz val="12"/>
      <color theme="10"/>
      <name val="Calibri"/>
      <family val="2"/>
    </font>
    <font>
      <sz val="11"/>
      <color rgb="FF0070C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5" fontId="3" fillId="0" borderId="2" xfId="0" applyNumberFormat="1" applyFont="1" applyBorder="1" applyAlignment="1">
      <alignment horizontal="left" vertical="top" wrapText="1"/>
    </xf>
    <xf numFmtId="15" fontId="3" fillId="0" borderId="2" xfId="0" applyNumberFormat="1" applyFon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/>
    </xf>
    <xf numFmtId="14" fontId="5" fillId="0" borderId="2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14" fontId="10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/>
    </xf>
    <xf numFmtId="0" fontId="18" fillId="5" borderId="1" xfId="0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/>
    </xf>
    <xf numFmtId="9" fontId="8" fillId="0" borderId="1" xfId="1" applyFont="1" applyBorder="1" applyAlignment="1">
      <alignment horizontal="left" vertical="top"/>
    </xf>
    <xf numFmtId="0" fontId="7" fillId="3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14" fontId="11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8" fillId="5" borderId="6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25" fillId="0" borderId="1" xfId="0" applyFont="1" applyBorder="1"/>
    <xf numFmtId="0" fontId="23" fillId="0" borderId="1" xfId="0" applyFont="1" applyBorder="1" applyAlignment="1">
      <alignment vertical="top"/>
    </xf>
    <xf numFmtId="0" fontId="0" fillId="0" borderId="1" xfId="0" applyBorder="1"/>
    <xf numFmtId="14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/>
    </xf>
    <xf numFmtId="0" fontId="24" fillId="3" borderId="7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left" vertical="top" wrapText="1"/>
    </xf>
    <xf numFmtId="14" fontId="11" fillId="0" borderId="1" xfId="0" applyNumberFormat="1" applyFont="1" applyBorder="1" applyAlignment="1">
      <alignment horizontal="center" vertical="top"/>
    </xf>
    <xf numFmtId="0" fontId="9" fillId="6" borderId="1" xfId="0" applyFont="1" applyFill="1" applyBorder="1" applyAlignment="1">
      <alignment horizontal="left" vertical="top" wrapText="1"/>
    </xf>
    <xf numFmtId="0" fontId="13" fillId="3" borderId="6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14" fontId="11" fillId="0" borderId="2" xfId="0" applyNumberFormat="1" applyFont="1" applyBorder="1" applyAlignment="1">
      <alignment horizontal="left" vertical="top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14" fontId="10" fillId="0" borderId="8" xfId="0" applyNumberFormat="1" applyFont="1" applyBorder="1" applyAlignment="1">
      <alignment horizontal="left" vertical="center" wrapText="1"/>
    </xf>
    <xf numFmtId="14" fontId="11" fillId="0" borderId="8" xfId="0" applyNumberFormat="1" applyFont="1" applyBorder="1" applyAlignment="1">
      <alignment horizontal="left" vertical="center"/>
    </xf>
    <xf numFmtId="14" fontId="8" fillId="0" borderId="8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14" fontId="11" fillId="0" borderId="10" xfId="0" applyNumberFormat="1" applyFont="1" applyBorder="1" applyAlignment="1">
      <alignment horizontal="left" vertical="center"/>
    </xf>
    <xf numFmtId="14" fontId="8" fillId="0" borderId="10" xfId="0" applyNumberFormat="1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14" fontId="10" fillId="0" borderId="14" xfId="0" applyNumberFormat="1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4" fontId="12" fillId="0" borderId="10" xfId="0" applyNumberFormat="1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" fontId="11" fillId="0" borderId="15" xfId="0" applyNumberFormat="1" applyFont="1" applyBorder="1" applyAlignment="1">
      <alignment horizontal="center" vertical="center"/>
    </xf>
    <xf numFmtId="1" fontId="11" fillId="0" borderId="1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29" fillId="0" borderId="12" xfId="0" applyFont="1" applyBorder="1" applyAlignment="1">
      <alignment horizontal="center" vertical="center"/>
    </xf>
    <xf numFmtId="0" fontId="0" fillId="0" borderId="0" xfId="0" pivotButton="1"/>
    <xf numFmtId="0" fontId="10" fillId="0" borderId="14" xfId="0" applyFont="1" applyBorder="1" applyAlignment="1">
      <alignment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left" vertical="center"/>
    </xf>
    <xf numFmtId="0" fontId="10" fillId="0" borderId="20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29" fillId="3" borderId="1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14" fontId="8" fillId="0" borderId="8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" fontId="11" fillId="0" borderId="15" xfId="0" applyNumberFormat="1" applyFont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14" fontId="10" fillId="0" borderId="1" xfId="0" applyNumberFormat="1" applyFont="1" applyBorder="1" applyAlignment="1">
      <alignment horizontal="left" vertical="center" wrapText="1"/>
    </xf>
    <xf numFmtId="14" fontId="10" fillId="0" borderId="10" xfId="0" applyNumberFormat="1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14" fontId="10" fillId="0" borderId="8" xfId="0" applyNumberFormat="1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4" fontId="11" fillId="0" borderId="10" xfId="0" applyNumberFormat="1" applyFont="1" applyBorder="1" applyAlignment="1">
      <alignment horizontal="left" vertical="center"/>
    </xf>
    <xf numFmtId="14" fontId="8" fillId="0" borderId="10" xfId="0" applyNumberFormat="1" applyFont="1" applyBorder="1" applyAlignment="1">
      <alignment horizontal="left" vertical="center" wrapText="1"/>
    </xf>
    <xf numFmtId="1" fontId="11" fillId="0" borderId="18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1" fontId="11" fillId="0" borderId="9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14" fontId="11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center" vertical="top"/>
    </xf>
    <xf numFmtId="0" fontId="26" fillId="0" borderId="6" xfId="2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16" fillId="0" borderId="1" xfId="2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/>
    </xf>
    <xf numFmtId="14" fontId="19" fillId="0" borderId="1" xfId="0" applyNumberFormat="1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14" fontId="23" fillId="0" borderId="1" xfId="0" applyNumberFormat="1" applyFont="1" applyBorder="1" applyAlignment="1">
      <alignment horizontal="center" vertical="top"/>
    </xf>
    <xf numFmtId="0" fontId="16" fillId="0" borderId="1" xfId="2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7" fillId="0" borderId="1" xfId="2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6" fillId="0" borderId="7" xfId="2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91.447082175924" createdVersion="8" refreshedVersion="8" minRefreshableVersion="3" recordCount="57" xr:uid="{0503CDBF-8A1A-425B-82CF-FB2A109DCD76}">
  <cacheSource type="worksheet">
    <worksheetSource ref="A1:K58" sheet="Summary Spares pendings"/>
  </cacheSource>
  <cacheFields count="11">
    <cacheField name="Model" numFmtId="0">
      <sharedItems/>
    </cacheField>
    <cacheField name="Model2" numFmtId="0">
      <sharedItems count="7">
        <s v="TS-III"/>
        <s v="M10"/>
        <s v="Q5"/>
        <s v="Truscope M10  with Touch" u="1"/>
        <s v="Truscope M10" u="1"/>
        <s v="Truscope Ultra Q5 - Nellcor" u="1"/>
        <s v="Truscope Ultra Q5 - Digital" u="1"/>
      </sharedItems>
    </cacheField>
    <cacheField name="BLT Invoice No." numFmtId="0">
      <sharedItems containsBlank="1"/>
    </cacheField>
    <cacheField name="Received Date" numFmtId="14">
      <sharedItems containsDate="1" containsBlank="1" containsMixedTypes="1" minDate="2024-10-26T00:00:00" maxDate="2025-04-26T00:00:00"/>
    </cacheField>
    <cacheField name="Received Qty" numFmtId="0">
      <sharedItems containsString="0" containsBlank="1" containsNumber="1" containsInteger="1" minValue="50" maxValue="500"/>
    </cacheField>
    <cacheField name="Problem QTY" numFmtId="0">
      <sharedItems containsString="0" containsBlank="1" containsNumber="1" containsInteger="1" minValue="1" maxValue="85"/>
    </cacheField>
    <cacheField name="Problem reported date to BLT" numFmtId="14">
      <sharedItems containsNonDate="0" containsDate="1" containsString="0" containsBlank="1" minDate="2025-01-11T00:00:00" maxDate="2025-05-01T00:00:00"/>
    </cacheField>
    <cacheField name="Spares required" numFmtId="0">
      <sharedItems count="42">
        <s v="Battery "/>
        <s v="Battery lock"/>
        <s v="Back Cabinet"/>
        <s v="Front Cabinet "/>
        <s v="LCD"/>
        <s v="Backlight cable"/>
        <s v="Power source Metal frame"/>
        <s v="SOP Board Power Source Sticker"/>
        <s v="Analog Module"/>
        <s v="Spo2 DOC10 Socket"/>
        <s v="Side plate sticker"/>
        <s v="Analog BM-100A module"/>
        <s v="SMPS Module"/>
        <s v="IO Interface board"/>
        <s v="Spo2 extension cable"/>
        <s v="MB350 ARM board assembly"/>
        <s v="LVDS Cable"/>
        <s v="Silicon Keypad "/>
        <s v="Power source frame"/>
        <s v="Nellcor Spo2 I/F board"/>
        <s v="Arm Board"/>
        <s v="keyboard control board"/>
        <s v="Keyboard Control Board "/>
        <s v="Double Channel slots"/>
        <s v="BM100A module Digital with IBP"/>
        <s v="Rear connector plate "/>
        <s v="Silicon keypad" u="1"/>
        <s v="DOC-10 connector" u="1"/>
        <s v="Side plate sticker " u="1"/>
        <s v="power source sticker" u="1"/>
        <s v="Silicon Key Pad" u="1"/>
        <s v="IO Board" u="1"/>
        <s v="Interface board" u="1"/>
        <s v="Frame" u="1"/>
        <s v="BM100A Module" u="1"/>
        <s v="Digital BM-100A module" u="1"/>
        <s v="Sillicon Keypad " u="1"/>
        <s v="Sillicon Key Pad" u="1"/>
        <s v="Front Cabinet" u="1"/>
        <s v="Cabinet" u="1"/>
        <s v="Battery" u="1"/>
        <s v="LCD " u="1"/>
      </sharedItems>
    </cacheField>
    <cacheField name="Req QTY" numFmtId="0">
      <sharedItems containsSemiMixedTypes="0" containsString="0" containsNumber="1" containsInteger="1" minValue="1" maxValue="85"/>
    </cacheField>
    <cacheField name="Date" numFmtId="14">
      <sharedItems containsNonDate="0" containsDate="1" containsString="0" containsBlank="1" minDate="2025-05-14T00:00:00" maxDate="2025-05-15T00:00:00"/>
    </cacheField>
    <cacheField name="No of days delay" numFmtId="1">
      <sharedItems containsString="0" containsBlank="1" containsNumber="1" containsInteger="1" minValue="14" maxValue="1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Tsruscope III- Basic"/>
    <x v="0"/>
    <s v="24ZXS121903"/>
    <d v="2024-12-31T00:00:00"/>
    <n v="500"/>
    <n v="77"/>
    <d v="2025-02-12T00:00:00"/>
    <x v="0"/>
    <n v="77"/>
    <d v="2025-05-14T00:00:00"/>
    <n v="91"/>
  </r>
  <r>
    <s v="Tsruscope III- Basic"/>
    <x v="0"/>
    <m/>
    <m/>
    <m/>
    <m/>
    <m/>
    <x v="1"/>
    <n v="2"/>
    <m/>
    <m/>
  </r>
  <r>
    <s v="Tsruscope III- Basic"/>
    <x v="0"/>
    <s v="25ZXS030401"/>
    <d v="2025-03-15T00:00:00"/>
    <n v="500"/>
    <n v="6"/>
    <d v="2025-04-07T00:00:00"/>
    <x v="2"/>
    <n v="6"/>
    <d v="2025-05-14T00:00:00"/>
    <n v="37"/>
  </r>
  <r>
    <s v="Tsruscope III- Basic"/>
    <x v="0"/>
    <m/>
    <m/>
    <m/>
    <m/>
    <m/>
    <x v="3"/>
    <n v="2"/>
    <m/>
    <m/>
  </r>
  <r>
    <s v="Tsruscope III- Basic"/>
    <x v="0"/>
    <m/>
    <m/>
    <m/>
    <m/>
    <m/>
    <x v="4"/>
    <n v="3"/>
    <m/>
    <m/>
  </r>
  <r>
    <s v="Tsruscope III- Basic"/>
    <x v="0"/>
    <m/>
    <m/>
    <m/>
    <m/>
    <m/>
    <x v="5"/>
    <n v="1"/>
    <m/>
    <m/>
  </r>
  <r>
    <s v="Tsruscope III- Basic"/>
    <x v="0"/>
    <m/>
    <m/>
    <m/>
    <m/>
    <m/>
    <x v="6"/>
    <n v="4"/>
    <m/>
    <m/>
  </r>
  <r>
    <s v="Tsruscope III- Basic"/>
    <x v="0"/>
    <m/>
    <m/>
    <m/>
    <m/>
    <m/>
    <x v="0"/>
    <n v="1"/>
    <m/>
    <m/>
  </r>
  <r>
    <s v="Tsruscope III- Basic"/>
    <x v="0"/>
    <m/>
    <m/>
    <m/>
    <m/>
    <m/>
    <x v="1"/>
    <n v="1"/>
    <m/>
    <m/>
  </r>
  <r>
    <s v="Tsruscope III- Basic"/>
    <x v="0"/>
    <m/>
    <m/>
    <m/>
    <m/>
    <m/>
    <x v="7"/>
    <n v="1"/>
    <m/>
    <m/>
  </r>
  <r>
    <s v="Tsruscope III- Basic"/>
    <x v="0"/>
    <m/>
    <m/>
    <m/>
    <m/>
    <m/>
    <x v="8"/>
    <n v="2"/>
    <m/>
    <m/>
  </r>
  <r>
    <s v="Tsruscope III- Basic"/>
    <x v="0"/>
    <m/>
    <m/>
    <m/>
    <m/>
    <m/>
    <x v="9"/>
    <n v="3"/>
    <m/>
    <m/>
  </r>
  <r>
    <s v="Tsruscope III- Basic"/>
    <x v="0"/>
    <m/>
    <m/>
    <m/>
    <m/>
    <m/>
    <x v="10"/>
    <n v="1"/>
    <m/>
    <m/>
  </r>
  <r>
    <s v="Tsruscope III- Basic"/>
    <x v="0"/>
    <m/>
    <m/>
    <m/>
    <m/>
    <m/>
    <x v="11"/>
    <n v="1"/>
    <m/>
    <m/>
  </r>
  <r>
    <s v="Tsruscope III- Basic"/>
    <x v="0"/>
    <m/>
    <m/>
    <m/>
    <m/>
    <m/>
    <x v="12"/>
    <n v="1"/>
    <m/>
    <m/>
  </r>
  <r>
    <s v="Tsruscope III- Basic"/>
    <x v="0"/>
    <m/>
    <m/>
    <m/>
    <m/>
    <m/>
    <x v="13"/>
    <n v="3"/>
    <m/>
    <m/>
  </r>
  <r>
    <s v="Tsruscope III- Basic"/>
    <x v="0"/>
    <m/>
    <m/>
    <m/>
    <m/>
    <m/>
    <x v="14"/>
    <n v="3"/>
    <m/>
    <m/>
  </r>
  <r>
    <s v="Truscope III- Analog"/>
    <x v="0"/>
    <s v="25ZXS022001"/>
    <d v="2025-03-05T00:00:00"/>
    <n v="250"/>
    <n v="9"/>
    <d v="2025-03-17T00:00:00"/>
    <x v="9"/>
    <n v="2"/>
    <d v="2025-05-14T00:00:00"/>
    <n v="58"/>
  </r>
  <r>
    <s v="Truscope III- Analog"/>
    <x v="0"/>
    <m/>
    <m/>
    <m/>
    <m/>
    <m/>
    <x v="11"/>
    <n v="1"/>
    <m/>
    <m/>
  </r>
  <r>
    <s v="Truscope III- Analog"/>
    <x v="0"/>
    <m/>
    <m/>
    <m/>
    <m/>
    <m/>
    <x v="15"/>
    <n v="1"/>
    <m/>
    <m/>
  </r>
  <r>
    <s v="Truscope III- Analog"/>
    <x v="0"/>
    <m/>
    <m/>
    <m/>
    <m/>
    <m/>
    <x v="0"/>
    <n v="5"/>
    <m/>
    <m/>
  </r>
  <r>
    <s v="Truscope III- Analog"/>
    <x v="0"/>
    <m/>
    <m/>
    <m/>
    <m/>
    <m/>
    <x v="7"/>
    <n v="4"/>
    <m/>
    <m/>
  </r>
  <r>
    <s v="Truscope III- Analog"/>
    <x v="0"/>
    <m/>
    <m/>
    <m/>
    <m/>
    <m/>
    <x v="1"/>
    <n v="1"/>
    <m/>
    <m/>
  </r>
  <r>
    <s v="Truscope III- Analog"/>
    <x v="0"/>
    <m/>
    <m/>
    <m/>
    <m/>
    <m/>
    <x v="6"/>
    <n v="1"/>
    <m/>
    <m/>
  </r>
  <r>
    <s v="Truscope III- Analog"/>
    <x v="0"/>
    <m/>
    <m/>
    <m/>
    <m/>
    <m/>
    <x v="4"/>
    <n v="5"/>
    <m/>
    <m/>
  </r>
  <r>
    <s v="Truscope III- Analog"/>
    <x v="0"/>
    <m/>
    <m/>
    <m/>
    <m/>
    <m/>
    <x v="16"/>
    <n v="2"/>
    <m/>
    <m/>
  </r>
  <r>
    <s v="Truscope III- Analog"/>
    <x v="0"/>
    <m/>
    <m/>
    <m/>
    <m/>
    <m/>
    <x v="5"/>
    <n v="2"/>
    <m/>
    <m/>
  </r>
  <r>
    <s v="Truscope III- Analog"/>
    <x v="0"/>
    <m/>
    <m/>
    <m/>
    <m/>
    <m/>
    <x v="17"/>
    <n v="4"/>
    <m/>
    <m/>
  </r>
  <r>
    <s v="Truscope III- Analog"/>
    <x v="0"/>
    <m/>
    <m/>
    <m/>
    <m/>
    <m/>
    <x v="3"/>
    <n v="2"/>
    <m/>
    <m/>
  </r>
  <r>
    <s v="Truscope III- Analog"/>
    <x v="0"/>
    <m/>
    <m/>
    <m/>
    <m/>
    <m/>
    <x v="2"/>
    <n v="3"/>
    <m/>
    <m/>
  </r>
  <r>
    <s v="Truscope III- Analog"/>
    <x v="0"/>
    <s v="25ZXS041102"/>
    <d v="2025-04-25T00:00:00"/>
    <n v="100"/>
    <n v="1"/>
    <d v="2025-04-30T00:00:00"/>
    <x v="4"/>
    <n v="1"/>
    <d v="2025-05-14T00:00:00"/>
    <n v="14"/>
  </r>
  <r>
    <s v="Truscope III- Analog"/>
    <x v="0"/>
    <m/>
    <m/>
    <m/>
    <m/>
    <m/>
    <x v="17"/>
    <n v="1"/>
    <m/>
    <m/>
  </r>
  <r>
    <s v="Truscope III- Analog"/>
    <x v="0"/>
    <m/>
    <m/>
    <m/>
    <m/>
    <m/>
    <x v="2"/>
    <n v="1"/>
    <m/>
    <m/>
  </r>
  <r>
    <s v="Truscope III -Nellcor"/>
    <x v="0"/>
    <s v="25ZXS031103"/>
    <d v="2025-03-25T00:00:00"/>
    <n v="250"/>
    <n v="6"/>
    <d v="2025-04-26T00:00:00"/>
    <x v="2"/>
    <n v="1"/>
    <d v="2025-05-14T00:00:00"/>
    <n v="18"/>
  </r>
  <r>
    <s v="Truscope III -Nellcor"/>
    <x v="0"/>
    <m/>
    <m/>
    <m/>
    <m/>
    <m/>
    <x v="3"/>
    <n v="3"/>
    <m/>
    <m/>
  </r>
  <r>
    <s v="Truscope III -Nellcor"/>
    <x v="0"/>
    <m/>
    <m/>
    <m/>
    <m/>
    <m/>
    <x v="17"/>
    <n v="2"/>
    <m/>
    <m/>
  </r>
  <r>
    <s v="Truscope III -Nellcor"/>
    <x v="0"/>
    <m/>
    <m/>
    <m/>
    <m/>
    <m/>
    <x v="4"/>
    <n v="1"/>
    <m/>
    <m/>
  </r>
  <r>
    <s v="Truscope III -Nellcor"/>
    <x v="0"/>
    <m/>
    <m/>
    <m/>
    <m/>
    <m/>
    <x v="5"/>
    <n v="1"/>
    <m/>
    <m/>
  </r>
  <r>
    <s v="Truscope III -Nellcor"/>
    <x v="0"/>
    <m/>
    <m/>
    <m/>
    <m/>
    <m/>
    <x v="1"/>
    <n v="4"/>
    <m/>
    <m/>
  </r>
  <r>
    <s v="Truscope III -Nellcor"/>
    <x v="0"/>
    <m/>
    <m/>
    <m/>
    <m/>
    <m/>
    <x v="18"/>
    <n v="1"/>
    <m/>
    <m/>
  </r>
  <r>
    <s v="Truscope III -Nellcor"/>
    <x v="0"/>
    <m/>
    <m/>
    <m/>
    <m/>
    <m/>
    <x v="10"/>
    <n v="4"/>
    <m/>
    <m/>
  </r>
  <r>
    <s v="Truscope III -Nellcor"/>
    <x v="0"/>
    <m/>
    <m/>
    <m/>
    <m/>
    <m/>
    <x v="19"/>
    <n v="2"/>
    <m/>
    <m/>
  </r>
  <r>
    <s v="Truscope III -Nellcor"/>
    <x v="0"/>
    <m/>
    <m/>
    <m/>
    <m/>
    <m/>
    <x v="9"/>
    <n v="1"/>
    <m/>
    <m/>
  </r>
  <r>
    <s v="Truscope III -Nellcor"/>
    <x v="0"/>
    <m/>
    <m/>
    <m/>
    <m/>
    <m/>
    <x v="12"/>
    <n v="1"/>
    <m/>
    <m/>
  </r>
  <r>
    <s v="Truscope III -Nellcor"/>
    <x v="0"/>
    <m/>
    <m/>
    <m/>
    <m/>
    <m/>
    <x v="13"/>
    <n v="1"/>
    <m/>
    <m/>
  </r>
  <r>
    <s v="Truscope M10  with Touch"/>
    <x v="1"/>
    <s v="24ZXS101501"/>
    <d v="2024-10-26T00:00:00"/>
    <n v="50"/>
    <n v="28"/>
    <d v="2025-01-11T00:00:00"/>
    <x v="4"/>
    <n v="28"/>
    <d v="2025-05-14T00:00:00"/>
    <n v="123"/>
  </r>
  <r>
    <s v="Truscope M10"/>
    <x v="1"/>
    <s v="24ZXS112101"/>
    <s v="28-12-2024"/>
    <n v="500"/>
    <n v="85"/>
    <d v="2025-01-11T00:00:00"/>
    <x v="4"/>
    <n v="85"/>
    <d v="2025-05-14T00:00:00"/>
    <n v="123"/>
  </r>
  <r>
    <s v="Truscope Ultra Q5 - Nellcor"/>
    <x v="2"/>
    <s v="25ZXS041402"/>
    <d v="2025-04-25T00:00:00"/>
    <n v="50"/>
    <n v="5"/>
    <d v="2025-04-30T00:00:00"/>
    <x v="20"/>
    <n v="2"/>
    <d v="2025-05-14T00:00:00"/>
    <n v="14"/>
  </r>
  <r>
    <s v="Truscope Ultra Q5 - Nellcor"/>
    <x v="2"/>
    <m/>
    <m/>
    <m/>
    <m/>
    <m/>
    <x v="16"/>
    <n v="1"/>
    <m/>
    <m/>
  </r>
  <r>
    <s v="Truscope Ultra Q5 - Nellcor"/>
    <x v="2"/>
    <m/>
    <m/>
    <m/>
    <m/>
    <m/>
    <x v="21"/>
    <n v="2"/>
    <m/>
    <m/>
  </r>
  <r>
    <s v="Truscope Ultra Q5 - Nellcor"/>
    <x v="2"/>
    <m/>
    <m/>
    <m/>
    <m/>
    <m/>
    <x v="4"/>
    <n v="3"/>
    <m/>
    <m/>
  </r>
  <r>
    <s v="Truscope Ultra Q5 - Digital"/>
    <x v="2"/>
    <s v="25ZXS020901"/>
    <d v="2025-02-25T00:00:00"/>
    <n v="100"/>
    <n v="15"/>
    <d v="2025-03-17T00:00:00"/>
    <x v="22"/>
    <n v="4"/>
    <d v="2025-05-14T00:00:00"/>
    <n v="58"/>
  </r>
  <r>
    <s v="Truscope Ultra Q5 - Digital"/>
    <x v="2"/>
    <m/>
    <m/>
    <m/>
    <m/>
    <m/>
    <x v="23"/>
    <n v="4"/>
    <m/>
    <m/>
  </r>
  <r>
    <s v="Truscope Ultra Q5 - Digital"/>
    <x v="2"/>
    <m/>
    <m/>
    <m/>
    <m/>
    <m/>
    <x v="24"/>
    <n v="1"/>
    <m/>
    <m/>
  </r>
  <r>
    <s v="Truscope Ultra Q5 - Digital"/>
    <x v="2"/>
    <m/>
    <m/>
    <m/>
    <m/>
    <m/>
    <x v="25"/>
    <n v="3"/>
    <m/>
    <m/>
  </r>
  <r>
    <s v="Truscope Ultra Q5 - Digital"/>
    <x v="2"/>
    <m/>
    <m/>
    <m/>
    <m/>
    <m/>
    <x v="20"/>
    <n v="3"/>
    <m/>
    <m/>
  </r>
  <r>
    <s v="Truscope Ultra Q5 - Digital"/>
    <x v="2"/>
    <m/>
    <m/>
    <m/>
    <m/>
    <m/>
    <x v="4"/>
    <n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2A35A-1CF5-44B6-B46C-069ACA0896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4" firstHeaderRow="2" firstDataRow="2" firstDataCol="2"/>
  <pivotFields count="11">
    <pivotField compact="0" outline="0" showAll="0"/>
    <pivotField axis="axisRow" compact="0" outline="0" showAll="0" defaultSubtotal="0">
      <items count="7">
        <item m="1" x="4"/>
        <item m="1" x="3"/>
        <item m="1" x="6"/>
        <item m="1" x="5"/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3">
        <item x="8"/>
        <item x="20"/>
        <item x="2"/>
        <item x="5"/>
        <item m="1" x="40"/>
        <item x="0"/>
        <item x="1"/>
        <item m="1" x="34"/>
        <item x="24"/>
        <item m="1" x="39"/>
        <item m="1" x="35"/>
        <item m="1" x="27"/>
        <item x="23"/>
        <item m="1" x="33"/>
        <item m="1" x="38"/>
        <item x="3"/>
        <item m="1" x="32"/>
        <item m="1" x="31"/>
        <item x="21"/>
        <item x="22"/>
        <item x="4"/>
        <item m="1" x="41"/>
        <item x="16"/>
        <item x="15"/>
        <item x="19"/>
        <item x="18"/>
        <item x="6"/>
        <item m="1" x="29"/>
        <item x="25"/>
        <item x="10"/>
        <item m="1" x="28"/>
        <item m="1" x="26"/>
        <item m="1" x="37"/>
        <item m="1" x="36"/>
        <item x="12"/>
        <item x="7"/>
        <item x="9"/>
        <item x="14"/>
        <item m="1" x="30"/>
        <item x="17"/>
        <item x="1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</pivotFields>
  <rowFields count="2">
    <field x="1"/>
    <field x="7"/>
  </rowFields>
  <rowItems count="30">
    <i>
      <x v="4"/>
      <x v="5"/>
    </i>
    <i r="1">
      <x v="2"/>
    </i>
    <i r="1">
      <x v="20"/>
    </i>
    <i r="1">
      <x v="6"/>
    </i>
    <i r="1">
      <x v="15"/>
    </i>
    <i r="1">
      <x v="39"/>
    </i>
    <i r="1">
      <x v="36"/>
    </i>
    <i r="1">
      <x v="29"/>
    </i>
    <i r="1">
      <x v="35"/>
    </i>
    <i r="1">
      <x v="26"/>
    </i>
    <i r="1">
      <x v="3"/>
    </i>
    <i r="1">
      <x v="41"/>
    </i>
    <i r="1">
      <x v="37"/>
    </i>
    <i r="1">
      <x v="34"/>
    </i>
    <i r="1">
      <x v="40"/>
    </i>
    <i r="1">
      <x v="22"/>
    </i>
    <i r="1">
      <x/>
    </i>
    <i r="1">
      <x v="24"/>
    </i>
    <i r="1">
      <x v="23"/>
    </i>
    <i r="1">
      <x v="25"/>
    </i>
    <i>
      <x v="5"/>
      <x v="20"/>
    </i>
    <i r="1">
      <x v="1"/>
    </i>
    <i r="1">
      <x v="12"/>
    </i>
    <i r="1">
      <x v="19"/>
    </i>
    <i r="1">
      <x v="28"/>
    </i>
    <i r="1">
      <x v="18"/>
    </i>
    <i r="1">
      <x v="8"/>
    </i>
    <i r="1">
      <x v="22"/>
    </i>
    <i>
      <x v="6"/>
      <x v="20"/>
    </i>
    <i t="grand">
      <x/>
    </i>
  </rowItems>
  <colItems count="1">
    <i/>
  </colItems>
  <dataFields count="1">
    <dataField name="Sum of Req Q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pg-jIfE0mhG1j6UMY4w6Y3Xs1FCXbMDi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1SzOXtiEJ6XUg1wt5mj9UKHBoKGAdWAo" TargetMode="External"/><Relationship Id="rId1" Type="http://schemas.openxmlformats.org/officeDocument/2006/relationships/hyperlink" Target="https://drive.google.com/drive/folders/1jMYEWMX8A0rotngfutG1f6U1s8sJxK_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rive.google.com/drive/folders/1tBpl7vX40VPHR7phk7J9pX6wQLj21FQ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kRoaZ3SfxQfIV2wPlYUw-e8snUHIafVV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1m6kFc9kumNk1fr2tEAFELfp1RHi9_H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A4" sqref="A4:A5"/>
    </sheetView>
  </sheetViews>
  <sheetFormatPr defaultColWidth="9.140625" defaultRowHeight="15"/>
  <cols>
    <col min="1" max="1" width="26.85546875" style="35" bestFit="1" customWidth="1"/>
    <col min="2" max="2" width="18.42578125" style="35" bestFit="1" customWidth="1"/>
    <col min="3" max="4" width="12" style="35" bestFit="1" customWidth="1"/>
    <col min="5" max="5" width="11.5703125" style="35" bestFit="1" customWidth="1"/>
    <col min="6" max="6" width="21.140625" style="35" bestFit="1" customWidth="1"/>
    <col min="7" max="7" width="10.42578125" style="35" hidden="1" customWidth="1"/>
    <col min="8" max="8" width="19.85546875" style="35" bestFit="1" customWidth="1"/>
    <col min="9" max="16384" width="9.140625" style="35"/>
  </cols>
  <sheetData>
    <row r="1" spans="1:8" s="34" customFormat="1" ht="31.5">
      <c r="A1" s="63" t="s">
        <v>0</v>
      </c>
      <c r="B1" s="63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213</v>
      </c>
      <c r="H1" s="64" t="s">
        <v>212</v>
      </c>
    </row>
    <row r="2" spans="1:8" ht="15.75">
      <c r="A2" s="170" t="s">
        <v>6</v>
      </c>
      <c r="B2" s="61" t="s">
        <v>7</v>
      </c>
      <c r="C2" s="41">
        <v>45657</v>
      </c>
      <c r="D2" s="39">
        <v>500</v>
      </c>
      <c r="E2" s="38">
        <v>77</v>
      </c>
      <c r="F2" s="92">
        <v>45700</v>
      </c>
      <c r="G2" s="91">
        <v>45791</v>
      </c>
      <c r="H2" s="90">
        <f>+G2-F2</f>
        <v>91</v>
      </c>
    </row>
    <row r="3" spans="1:8" ht="15.75">
      <c r="A3" s="171"/>
      <c r="B3" s="61" t="s">
        <v>8</v>
      </c>
      <c r="C3" s="41">
        <v>45731</v>
      </c>
      <c r="D3" s="39">
        <v>500</v>
      </c>
      <c r="E3" s="38">
        <v>6</v>
      </c>
      <c r="F3" s="92">
        <v>45754</v>
      </c>
      <c r="G3" s="91">
        <v>45791</v>
      </c>
      <c r="H3" s="90">
        <f t="shared" ref="H3:H10" si="0">+G3-F3</f>
        <v>37</v>
      </c>
    </row>
    <row r="4" spans="1:8" ht="15.75">
      <c r="A4" s="170" t="s">
        <v>9</v>
      </c>
      <c r="B4" s="66" t="s">
        <v>10</v>
      </c>
      <c r="C4" s="65">
        <v>45721</v>
      </c>
      <c r="D4" s="40">
        <v>250</v>
      </c>
      <c r="E4" s="40">
        <v>9</v>
      </c>
      <c r="F4" s="92">
        <v>45733</v>
      </c>
      <c r="G4" s="91">
        <v>45791</v>
      </c>
      <c r="H4" s="90">
        <f t="shared" si="0"/>
        <v>58</v>
      </c>
    </row>
    <row r="5" spans="1:8" ht="15.75">
      <c r="A5" s="171"/>
      <c r="B5" s="66" t="s">
        <v>11</v>
      </c>
      <c r="C5" s="65">
        <v>45772</v>
      </c>
      <c r="D5" s="40">
        <v>100</v>
      </c>
      <c r="E5" s="40">
        <v>1</v>
      </c>
      <c r="F5" s="92">
        <v>45777</v>
      </c>
      <c r="G5" s="91">
        <v>45791</v>
      </c>
      <c r="H5" s="90">
        <f t="shared" si="0"/>
        <v>14</v>
      </c>
    </row>
    <row r="6" spans="1:8" s="34" customFormat="1" ht="15.75">
      <c r="A6" s="41" t="s">
        <v>14</v>
      </c>
      <c r="B6" s="61" t="s">
        <v>15</v>
      </c>
      <c r="C6" s="41">
        <v>45591</v>
      </c>
      <c r="D6" s="39">
        <v>50</v>
      </c>
      <c r="E6" s="38">
        <v>28</v>
      </c>
      <c r="F6" s="92">
        <v>45668</v>
      </c>
      <c r="G6" s="91">
        <v>45791</v>
      </c>
      <c r="H6" s="90">
        <f t="shared" si="0"/>
        <v>123</v>
      </c>
    </row>
    <row r="7" spans="1:8" ht="15.75">
      <c r="A7" s="42" t="s">
        <v>16</v>
      </c>
      <c r="B7" s="42" t="s">
        <v>17</v>
      </c>
      <c r="C7" s="67" t="s">
        <v>18</v>
      </c>
      <c r="D7" s="44">
        <v>500</v>
      </c>
      <c r="E7" s="43">
        <v>85</v>
      </c>
      <c r="F7" s="92">
        <v>45668</v>
      </c>
      <c r="G7" s="91">
        <v>45791</v>
      </c>
      <c r="H7" s="90">
        <f t="shared" si="0"/>
        <v>123</v>
      </c>
    </row>
    <row r="8" spans="1:8" ht="15.75">
      <c r="A8" s="72" t="s">
        <v>19</v>
      </c>
      <c r="B8" s="66" t="s">
        <v>20</v>
      </c>
      <c r="C8" s="65">
        <v>45713</v>
      </c>
      <c r="D8" s="40">
        <v>100</v>
      </c>
      <c r="E8" s="40">
        <v>15</v>
      </c>
      <c r="F8" s="92">
        <v>45733</v>
      </c>
      <c r="G8" s="91">
        <v>45791</v>
      </c>
      <c r="H8" s="90">
        <f t="shared" si="0"/>
        <v>58</v>
      </c>
    </row>
    <row r="9" spans="1:8" ht="15.75">
      <c r="A9" s="73" t="s">
        <v>21</v>
      </c>
      <c r="B9" s="66" t="s">
        <v>22</v>
      </c>
      <c r="C9" s="65">
        <v>45772</v>
      </c>
      <c r="D9" s="40">
        <v>50</v>
      </c>
      <c r="E9" s="40">
        <v>5</v>
      </c>
      <c r="F9" s="92">
        <v>45777</v>
      </c>
      <c r="G9" s="91">
        <v>45791</v>
      </c>
      <c r="H9" s="90">
        <f t="shared" si="0"/>
        <v>14</v>
      </c>
    </row>
    <row r="10" spans="1:8" ht="15.75">
      <c r="A10" s="62" t="s">
        <v>13</v>
      </c>
      <c r="B10" s="66" t="s">
        <v>23</v>
      </c>
      <c r="C10" s="65">
        <v>45741</v>
      </c>
      <c r="D10" s="40">
        <v>250</v>
      </c>
      <c r="E10" s="40">
        <v>6</v>
      </c>
      <c r="F10" s="92">
        <v>45773</v>
      </c>
      <c r="G10" s="91">
        <v>45791</v>
      </c>
      <c r="H10" s="90">
        <f t="shared" si="0"/>
        <v>18</v>
      </c>
    </row>
    <row r="11" spans="1:8" ht="15.75">
      <c r="A11" s="169" t="s">
        <v>24</v>
      </c>
      <c r="B11" s="169"/>
      <c r="C11" s="169"/>
      <c r="D11" s="45">
        <f>SUM(D2:D10)</f>
        <v>2300</v>
      </c>
      <c r="E11" s="45">
        <f>SUM(E2:E10)</f>
        <v>232</v>
      </c>
      <c r="F11" s="59"/>
      <c r="G11" s="59"/>
      <c r="H11" s="59"/>
    </row>
  </sheetData>
  <autoFilter ref="A1:H11" xr:uid="{00000000-0001-0000-0000-000000000000}"/>
  <mergeCells count="3">
    <mergeCell ref="A11:C11"/>
    <mergeCell ref="A2:A3"/>
    <mergeCell ref="A4: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1366-2CE6-4377-BDB9-913E931DC817}">
  <dimension ref="A3:C34"/>
  <sheetViews>
    <sheetView tabSelected="1" workbookViewId="0">
      <selection activeCell="E7" sqref="E7"/>
    </sheetView>
  </sheetViews>
  <sheetFormatPr defaultRowHeight="15"/>
  <cols>
    <col min="1" max="1" width="15.42578125" bestFit="1" customWidth="1"/>
    <col min="2" max="2" width="29.42578125" bestFit="1" customWidth="1"/>
    <col min="3" max="4" width="5.42578125" bestFit="1" customWidth="1"/>
  </cols>
  <sheetData>
    <row r="3" spans="1:3">
      <c r="A3" s="161" t="s">
        <v>254</v>
      </c>
    </row>
    <row r="4" spans="1:3">
      <c r="A4" s="161" t="s">
        <v>256</v>
      </c>
      <c r="B4" s="161" t="s">
        <v>226</v>
      </c>
      <c r="C4" t="s">
        <v>24</v>
      </c>
    </row>
    <row r="5" spans="1:3">
      <c r="A5" t="s">
        <v>255</v>
      </c>
      <c r="B5" t="s">
        <v>228</v>
      </c>
      <c r="C5">
        <v>83</v>
      </c>
    </row>
    <row r="6" spans="1:3">
      <c r="B6" t="s">
        <v>230</v>
      </c>
      <c r="C6">
        <v>11</v>
      </c>
    </row>
    <row r="7" spans="1:3">
      <c r="B7" t="s">
        <v>231</v>
      </c>
      <c r="C7">
        <v>10</v>
      </c>
    </row>
    <row r="8" spans="1:3">
      <c r="B8" t="s">
        <v>229</v>
      </c>
      <c r="C8">
        <v>8</v>
      </c>
    </row>
    <row r="9" spans="1:3">
      <c r="B9" t="s">
        <v>245</v>
      </c>
      <c r="C9">
        <v>7</v>
      </c>
    </row>
    <row r="10" spans="1:3">
      <c r="B10" t="s">
        <v>257</v>
      </c>
      <c r="C10">
        <v>7</v>
      </c>
    </row>
    <row r="11" spans="1:3">
      <c r="B11" t="s">
        <v>234</v>
      </c>
      <c r="C11">
        <v>6</v>
      </c>
    </row>
    <row r="12" spans="1:3">
      <c r="B12" t="s">
        <v>235</v>
      </c>
      <c r="C12">
        <v>5</v>
      </c>
    </row>
    <row r="13" spans="1:3">
      <c r="B13" t="s">
        <v>240</v>
      </c>
      <c r="C13">
        <v>5</v>
      </c>
    </row>
    <row r="14" spans="1:3">
      <c r="B14" t="s">
        <v>242</v>
      </c>
      <c r="C14">
        <v>5</v>
      </c>
    </row>
    <row r="15" spans="1:3">
      <c r="B15" t="s">
        <v>232</v>
      </c>
      <c r="C15">
        <v>4</v>
      </c>
    </row>
    <row r="16" spans="1:3">
      <c r="B16" t="s">
        <v>261</v>
      </c>
      <c r="C16">
        <v>4</v>
      </c>
    </row>
    <row r="17" spans="1:3">
      <c r="B17" t="s">
        <v>237</v>
      </c>
      <c r="C17">
        <v>3</v>
      </c>
    </row>
    <row r="18" spans="1:3">
      <c r="B18" t="s">
        <v>236</v>
      </c>
      <c r="C18">
        <v>2</v>
      </c>
    </row>
    <row r="19" spans="1:3">
      <c r="B19" t="s">
        <v>258</v>
      </c>
      <c r="C19">
        <v>2</v>
      </c>
    </row>
    <row r="20" spans="1:3">
      <c r="B20" t="s">
        <v>243</v>
      </c>
      <c r="C20">
        <v>2</v>
      </c>
    </row>
    <row r="21" spans="1:3">
      <c r="B21" t="s">
        <v>233</v>
      </c>
      <c r="C21">
        <v>2</v>
      </c>
    </row>
    <row r="22" spans="1:3">
      <c r="B22" t="s">
        <v>247</v>
      </c>
      <c r="C22">
        <v>2</v>
      </c>
    </row>
    <row r="23" spans="1:3">
      <c r="B23" t="s">
        <v>239</v>
      </c>
      <c r="C23">
        <v>1</v>
      </c>
    </row>
    <row r="24" spans="1:3">
      <c r="B24" t="s">
        <v>246</v>
      </c>
      <c r="C24">
        <v>1</v>
      </c>
    </row>
    <row r="25" spans="1:3">
      <c r="A25" t="s">
        <v>262</v>
      </c>
      <c r="B25" t="s">
        <v>231</v>
      </c>
      <c r="C25">
        <v>12</v>
      </c>
    </row>
    <row r="26" spans="1:3">
      <c r="B26" t="s">
        <v>248</v>
      </c>
      <c r="C26">
        <v>5</v>
      </c>
    </row>
    <row r="27" spans="1:3">
      <c r="B27" t="s">
        <v>157</v>
      </c>
      <c r="C27">
        <v>4</v>
      </c>
    </row>
    <row r="28" spans="1:3">
      <c r="B28" t="s">
        <v>250</v>
      </c>
      <c r="C28">
        <v>4</v>
      </c>
    </row>
    <row r="29" spans="1:3">
      <c r="B29" t="s">
        <v>252</v>
      </c>
      <c r="C29">
        <v>3</v>
      </c>
    </row>
    <row r="30" spans="1:3">
      <c r="B30" t="s">
        <v>249</v>
      </c>
      <c r="C30">
        <v>2</v>
      </c>
    </row>
    <row r="31" spans="1:3">
      <c r="B31" t="s">
        <v>251</v>
      </c>
      <c r="C31">
        <v>1</v>
      </c>
    </row>
    <row r="32" spans="1:3">
      <c r="B32" t="s">
        <v>243</v>
      </c>
      <c r="C32">
        <v>1</v>
      </c>
    </row>
    <row r="33" spans="1:3">
      <c r="A33" t="s">
        <v>215</v>
      </c>
      <c r="B33" t="s">
        <v>231</v>
      </c>
      <c r="C33">
        <v>113</v>
      </c>
    </row>
    <row r="34" spans="1:3">
      <c r="A34" t="s">
        <v>253</v>
      </c>
      <c r="C34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980F-253B-4048-8EA9-AC07B2DAA4E6}">
  <dimension ref="A1:K59"/>
  <sheetViews>
    <sheetView zoomScaleNormal="100" workbookViewId="0">
      <selection activeCell="L13" sqref="L13"/>
    </sheetView>
  </sheetViews>
  <sheetFormatPr defaultColWidth="9.140625" defaultRowHeight="15"/>
  <cols>
    <col min="1" max="1" width="26.85546875" style="116" bestFit="1" customWidth="1"/>
    <col min="2" max="2" width="7.28515625" style="116" hidden="1" customWidth="1"/>
    <col min="3" max="3" width="16.140625" style="116" bestFit="1" customWidth="1"/>
    <col min="4" max="4" width="11.5703125" style="116" bestFit="1" customWidth="1"/>
    <col min="5" max="5" width="9.7109375" style="116" bestFit="1" customWidth="1"/>
    <col min="6" max="6" width="9.28515625" style="116" bestFit="1" customWidth="1"/>
    <col min="7" max="7" width="18.85546875" style="116" bestFit="1" customWidth="1"/>
    <col min="8" max="8" width="31.5703125" style="116" bestFit="1" customWidth="1"/>
    <col min="9" max="9" width="9.140625" style="116" bestFit="1" customWidth="1"/>
    <col min="10" max="10" width="10.42578125" style="116" hidden="1" customWidth="1"/>
    <col min="11" max="11" width="17.5703125" style="116" bestFit="1" customWidth="1"/>
    <col min="12" max="16384" width="9.140625" style="116"/>
  </cols>
  <sheetData>
    <row r="1" spans="1:11" s="111" customFormat="1" ht="32.25" thickBot="1">
      <c r="A1" s="107" t="s">
        <v>0</v>
      </c>
      <c r="B1" s="165" t="s">
        <v>0</v>
      </c>
      <c r="C1" s="108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 t="s">
        <v>226</v>
      </c>
      <c r="I1" s="109" t="s">
        <v>227</v>
      </c>
      <c r="J1" s="109" t="s">
        <v>213</v>
      </c>
      <c r="K1" s="110" t="s">
        <v>212</v>
      </c>
    </row>
    <row r="2" spans="1:11" ht="16.5" thickBot="1">
      <c r="A2" s="162" t="s">
        <v>6</v>
      </c>
      <c r="B2" s="166" t="s">
        <v>255</v>
      </c>
      <c r="C2" s="186" t="s">
        <v>7</v>
      </c>
      <c r="D2" s="187">
        <v>45657</v>
      </c>
      <c r="E2" s="188">
        <v>500</v>
      </c>
      <c r="F2" s="172">
        <v>77</v>
      </c>
      <c r="G2" s="174">
        <v>45700</v>
      </c>
      <c r="H2" s="114" t="s">
        <v>228</v>
      </c>
      <c r="I2" s="140">
        <v>77</v>
      </c>
      <c r="J2" s="176">
        <v>45791</v>
      </c>
      <c r="K2" s="178">
        <f>+J2-G2</f>
        <v>91</v>
      </c>
    </row>
    <row r="3" spans="1:11" ht="16.5" thickBot="1">
      <c r="A3" s="162" t="s">
        <v>6</v>
      </c>
      <c r="B3" s="166" t="s">
        <v>255</v>
      </c>
      <c r="C3" s="180"/>
      <c r="D3" s="182"/>
      <c r="E3" s="184"/>
      <c r="F3" s="173"/>
      <c r="G3" s="175"/>
      <c r="H3" s="117" t="s">
        <v>229</v>
      </c>
      <c r="I3" s="141">
        <v>2</v>
      </c>
      <c r="J3" s="177"/>
      <c r="K3" s="179"/>
    </row>
    <row r="4" spans="1:11" ht="16.5" thickBot="1">
      <c r="A4" s="162" t="s">
        <v>6</v>
      </c>
      <c r="B4" s="166" t="s">
        <v>255</v>
      </c>
      <c r="C4" s="180" t="s">
        <v>8</v>
      </c>
      <c r="D4" s="182">
        <v>45731</v>
      </c>
      <c r="E4" s="184">
        <v>500</v>
      </c>
      <c r="F4" s="173">
        <v>6</v>
      </c>
      <c r="G4" s="175">
        <v>45754</v>
      </c>
      <c r="H4" s="117" t="s">
        <v>230</v>
      </c>
      <c r="I4" s="141">
        <v>6</v>
      </c>
      <c r="J4" s="177">
        <v>45791</v>
      </c>
      <c r="K4" s="179">
        <f t="shared" ref="K4:K53" si="0">+J4-G4</f>
        <v>37</v>
      </c>
    </row>
    <row r="5" spans="1:11" ht="16.5" thickBot="1">
      <c r="A5" s="162" t="s">
        <v>6</v>
      </c>
      <c r="B5" s="166" t="s">
        <v>255</v>
      </c>
      <c r="C5" s="180"/>
      <c r="D5" s="182"/>
      <c r="E5" s="184"/>
      <c r="F5" s="173"/>
      <c r="G5" s="175"/>
      <c r="H5" t="s">
        <v>245</v>
      </c>
      <c r="I5" s="141">
        <v>2</v>
      </c>
      <c r="J5" s="177"/>
      <c r="K5" s="179"/>
    </row>
    <row r="6" spans="1:11" ht="16.5" thickBot="1">
      <c r="A6" s="162" t="s">
        <v>6</v>
      </c>
      <c r="B6" s="166" t="s">
        <v>255</v>
      </c>
      <c r="C6" s="180"/>
      <c r="D6" s="182"/>
      <c r="E6" s="184"/>
      <c r="F6" s="173"/>
      <c r="G6" s="175"/>
      <c r="H6" s="117" t="s">
        <v>231</v>
      </c>
      <c r="I6" s="141">
        <v>3</v>
      </c>
      <c r="J6" s="177"/>
      <c r="K6" s="179"/>
    </row>
    <row r="7" spans="1:11" ht="16.5" thickBot="1">
      <c r="A7" s="162" t="s">
        <v>6</v>
      </c>
      <c r="B7" s="166" t="s">
        <v>255</v>
      </c>
      <c r="C7" s="180"/>
      <c r="D7" s="182"/>
      <c r="E7" s="184"/>
      <c r="F7" s="173"/>
      <c r="G7" s="175"/>
      <c r="H7" s="117" t="s">
        <v>232</v>
      </c>
      <c r="I7" s="141">
        <v>1</v>
      </c>
      <c r="J7" s="177"/>
      <c r="K7" s="179"/>
    </row>
    <row r="8" spans="1:11" ht="16.5" thickBot="1">
      <c r="A8" s="162" t="s">
        <v>6</v>
      </c>
      <c r="B8" s="166" t="s">
        <v>255</v>
      </c>
      <c r="C8" s="180"/>
      <c r="D8" s="182"/>
      <c r="E8" s="184"/>
      <c r="F8" s="173"/>
      <c r="G8" s="175"/>
      <c r="H8" s="124" t="s">
        <v>242</v>
      </c>
      <c r="I8" s="141">
        <v>4</v>
      </c>
      <c r="J8" s="177"/>
      <c r="K8" s="179"/>
    </row>
    <row r="9" spans="1:11" ht="16.5" thickBot="1">
      <c r="A9" s="162" t="s">
        <v>6</v>
      </c>
      <c r="B9" s="166" t="s">
        <v>255</v>
      </c>
      <c r="C9" s="180"/>
      <c r="D9" s="182"/>
      <c r="E9" s="184"/>
      <c r="F9" s="173"/>
      <c r="G9" s="175"/>
      <c r="H9" s="114" t="s">
        <v>228</v>
      </c>
      <c r="I9" s="141">
        <v>1</v>
      </c>
      <c r="J9" s="177"/>
      <c r="K9" s="179"/>
    </row>
    <row r="10" spans="1:11" ht="16.5" thickBot="1">
      <c r="A10" s="162" t="s">
        <v>6</v>
      </c>
      <c r="B10" s="166" t="s">
        <v>255</v>
      </c>
      <c r="C10" s="180"/>
      <c r="D10" s="182"/>
      <c r="E10" s="184"/>
      <c r="F10" s="173"/>
      <c r="G10" s="175"/>
      <c r="H10" s="117" t="s">
        <v>229</v>
      </c>
      <c r="I10" s="141">
        <v>1</v>
      </c>
      <c r="J10" s="177"/>
      <c r="K10" s="179"/>
    </row>
    <row r="11" spans="1:11" ht="16.5" thickBot="1">
      <c r="A11" s="162" t="s">
        <v>6</v>
      </c>
      <c r="B11" s="166" t="s">
        <v>255</v>
      </c>
      <c r="C11" s="180"/>
      <c r="D11" s="182"/>
      <c r="E11" s="184"/>
      <c r="F11" s="173"/>
      <c r="G11" s="175"/>
      <c r="H11" s="124" t="s">
        <v>240</v>
      </c>
      <c r="I11" s="141">
        <v>1</v>
      </c>
      <c r="J11" s="177"/>
      <c r="K11" s="179"/>
    </row>
    <row r="12" spans="1:11" ht="16.5" thickBot="1">
      <c r="A12" s="162" t="s">
        <v>6</v>
      </c>
      <c r="B12" s="166" t="s">
        <v>255</v>
      </c>
      <c r="C12" s="180"/>
      <c r="D12" s="182"/>
      <c r="E12" s="184"/>
      <c r="F12" s="173"/>
      <c r="G12" s="175"/>
      <c r="H12" s="117" t="s">
        <v>233</v>
      </c>
      <c r="I12" s="141">
        <v>2</v>
      </c>
      <c r="J12" s="177"/>
      <c r="K12" s="179"/>
    </row>
    <row r="13" spans="1:11" ht="16.5" thickBot="1">
      <c r="A13" s="162" t="s">
        <v>6</v>
      </c>
      <c r="B13" s="166" t="s">
        <v>255</v>
      </c>
      <c r="C13" s="180"/>
      <c r="D13" s="182"/>
      <c r="E13" s="184"/>
      <c r="F13" s="173"/>
      <c r="G13" s="175"/>
      <c r="H13" s="117" t="s">
        <v>234</v>
      </c>
      <c r="I13" s="141">
        <v>3</v>
      </c>
      <c r="J13" s="177"/>
      <c r="K13" s="179"/>
    </row>
    <row r="14" spans="1:11" ht="16.5" thickBot="1">
      <c r="A14" s="162" t="s">
        <v>6</v>
      </c>
      <c r="B14" s="166" t="s">
        <v>255</v>
      </c>
      <c r="C14" s="180"/>
      <c r="D14" s="182"/>
      <c r="E14" s="184"/>
      <c r="F14" s="173"/>
      <c r="G14" s="175"/>
      <c r="H14" s="117" t="s">
        <v>235</v>
      </c>
      <c r="I14" s="141">
        <v>1</v>
      </c>
      <c r="J14" s="177"/>
      <c r="K14" s="179"/>
    </row>
    <row r="15" spans="1:11" ht="16.5" thickBot="1">
      <c r="A15" s="162" t="s">
        <v>6</v>
      </c>
      <c r="B15" s="166" t="s">
        <v>255</v>
      </c>
      <c r="C15" s="180"/>
      <c r="D15" s="182"/>
      <c r="E15" s="184"/>
      <c r="F15" s="173"/>
      <c r="G15" s="175"/>
      <c r="H15" s="125" t="s">
        <v>258</v>
      </c>
      <c r="I15" s="141">
        <v>1</v>
      </c>
      <c r="J15" s="177"/>
      <c r="K15" s="179"/>
    </row>
    <row r="16" spans="1:11" ht="16.5" thickBot="1">
      <c r="A16" s="162" t="s">
        <v>6</v>
      </c>
      <c r="B16" s="166" t="s">
        <v>255</v>
      </c>
      <c r="C16" s="180"/>
      <c r="D16" s="182"/>
      <c r="E16" s="184"/>
      <c r="F16" s="173"/>
      <c r="G16" s="175"/>
      <c r="H16" s="117" t="s">
        <v>236</v>
      </c>
      <c r="I16" s="141">
        <v>1</v>
      </c>
      <c r="J16" s="177"/>
      <c r="K16" s="179"/>
    </row>
    <row r="17" spans="1:11" ht="16.5" thickBot="1">
      <c r="A17" s="162" t="s">
        <v>6</v>
      </c>
      <c r="B17" s="166" t="s">
        <v>255</v>
      </c>
      <c r="C17" s="180"/>
      <c r="D17" s="182"/>
      <c r="E17" s="184"/>
      <c r="F17" s="173"/>
      <c r="G17" s="175"/>
      <c r="H17" s="130" t="s">
        <v>261</v>
      </c>
      <c r="I17" s="141">
        <v>3</v>
      </c>
      <c r="J17" s="177"/>
      <c r="K17" s="179"/>
    </row>
    <row r="18" spans="1:11" ht="16.5" thickBot="1">
      <c r="A18" s="162" t="s">
        <v>6</v>
      </c>
      <c r="B18" s="166" t="s">
        <v>255</v>
      </c>
      <c r="C18" s="181"/>
      <c r="D18" s="183"/>
      <c r="E18" s="185"/>
      <c r="F18" s="189"/>
      <c r="G18" s="190"/>
      <c r="H18" s="118" t="s">
        <v>237</v>
      </c>
      <c r="I18" s="142">
        <v>3</v>
      </c>
      <c r="J18" s="191"/>
      <c r="K18" s="192"/>
    </row>
    <row r="19" spans="1:11" ht="15" customHeight="1" thickBot="1">
      <c r="A19" s="162" t="s">
        <v>9</v>
      </c>
      <c r="B19" s="166" t="s">
        <v>255</v>
      </c>
      <c r="C19" s="197" t="s">
        <v>10</v>
      </c>
      <c r="D19" s="174">
        <v>45721</v>
      </c>
      <c r="E19" s="199">
        <v>250</v>
      </c>
      <c r="F19" s="199">
        <v>9</v>
      </c>
      <c r="G19" s="174">
        <v>45733</v>
      </c>
      <c r="H19" s="121" t="s">
        <v>238</v>
      </c>
      <c r="I19" s="146">
        <v>2</v>
      </c>
      <c r="J19" s="176">
        <v>45791</v>
      </c>
      <c r="K19" s="178">
        <f t="shared" ref="K19" si="1">+J19-G19</f>
        <v>58</v>
      </c>
    </row>
    <row r="20" spans="1:11" ht="15" customHeight="1" thickBot="1">
      <c r="A20" s="162" t="s">
        <v>9</v>
      </c>
      <c r="B20" s="166" t="s">
        <v>255</v>
      </c>
      <c r="C20" s="198"/>
      <c r="D20" s="175"/>
      <c r="E20" s="195"/>
      <c r="F20" s="195"/>
      <c r="G20" s="175"/>
      <c r="H20" s="125" t="s">
        <v>258</v>
      </c>
      <c r="I20" s="147">
        <v>1</v>
      </c>
      <c r="J20" s="177"/>
      <c r="K20" s="179"/>
    </row>
    <row r="21" spans="1:11" ht="15" customHeight="1" thickBot="1">
      <c r="A21" s="162" t="s">
        <v>9</v>
      </c>
      <c r="B21" s="166" t="s">
        <v>255</v>
      </c>
      <c r="C21" s="198"/>
      <c r="D21" s="175"/>
      <c r="E21" s="195"/>
      <c r="F21" s="195"/>
      <c r="G21" s="175"/>
      <c r="H21" s="122" t="s">
        <v>239</v>
      </c>
      <c r="I21" s="147">
        <v>1</v>
      </c>
      <c r="J21" s="177"/>
      <c r="K21" s="179"/>
    </row>
    <row r="22" spans="1:11" s="111" customFormat="1" ht="15" customHeight="1" thickBot="1">
      <c r="A22" s="162" t="s">
        <v>9</v>
      </c>
      <c r="B22" s="166" t="s">
        <v>255</v>
      </c>
      <c r="C22" s="198"/>
      <c r="D22" s="175"/>
      <c r="E22" s="195"/>
      <c r="F22" s="195"/>
      <c r="G22" s="175"/>
      <c r="H22" s="114" t="s">
        <v>228</v>
      </c>
      <c r="I22" s="147">
        <v>5</v>
      </c>
      <c r="J22" s="177"/>
      <c r="K22" s="179"/>
    </row>
    <row r="23" spans="1:11" ht="15" customHeight="1" thickBot="1">
      <c r="A23" s="162" t="s">
        <v>9</v>
      </c>
      <c r="B23" s="166" t="s">
        <v>255</v>
      </c>
      <c r="C23" s="198"/>
      <c r="D23" s="175"/>
      <c r="E23" s="195"/>
      <c r="F23" s="195"/>
      <c r="G23" s="175"/>
      <c r="H23" s="124" t="s">
        <v>240</v>
      </c>
      <c r="I23" s="147">
        <v>4</v>
      </c>
      <c r="J23" s="177"/>
      <c r="K23" s="179"/>
    </row>
    <row r="24" spans="1:11" ht="15" customHeight="1" thickBot="1">
      <c r="A24" s="162" t="s">
        <v>9</v>
      </c>
      <c r="B24" s="166" t="s">
        <v>255</v>
      </c>
      <c r="C24" s="198"/>
      <c r="D24" s="175"/>
      <c r="E24" s="195"/>
      <c r="F24" s="195"/>
      <c r="G24" s="175"/>
      <c r="H24" s="124" t="s">
        <v>241</v>
      </c>
      <c r="I24" s="147">
        <v>1</v>
      </c>
      <c r="J24" s="177"/>
      <c r="K24" s="179"/>
    </row>
    <row r="25" spans="1:11" ht="15" customHeight="1" thickBot="1">
      <c r="A25" s="162" t="s">
        <v>9</v>
      </c>
      <c r="B25" s="166" t="s">
        <v>255</v>
      </c>
      <c r="C25" s="198"/>
      <c r="D25" s="175"/>
      <c r="E25" s="195"/>
      <c r="F25" s="195"/>
      <c r="G25" s="175"/>
      <c r="H25" s="124" t="s">
        <v>242</v>
      </c>
      <c r="I25" s="147">
        <v>1</v>
      </c>
      <c r="J25" s="177"/>
      <c r="K25" s="179"/>
    </row>
    <row r="26" spans="1:11" ht="15" customHeight="1" thickBot="1">
      <c r="A26" s="162" t="s">
        <v>9</v>
      </c>
      <c r="B26" s="166" t="s">
        <v>255</v>
      </c>
      <c r="C26" s="198"/>
      <c r="D26" s="175"/>
      <c r="E26" s="195"/>
      <c r="F26" s="195"/>
      <c r="G26" s="175"/>
      <c r="H26" s="117" t="s">
        <v>231</v>
      </c>
      <c r="I26" s="147">
        <v>5</v>
      </c>
      <c r="J26" s="177"/>
      <c r="K26" s="179"/>
    </row>
    <row r="27" spans="1:11" ht="15" customHeight="1" thickBot="1">
      <c r="A27" s="162" t="s">
        <v>9</v>
      </c>
      <c r="B27" s="166" t="s">
        <v>255</v>
      </c>
      <c r="C27" s="198"/>
      <c r="D27" s="175"/>
      <c r="E27" s="195"/>
      <c r="F27" s="195"/>
      <c r="G27" s="175"/>
      <c r="H27" s="124" t="s">
        <v>243</v>
      </c>
      <c r="I27" s="147">
        <v>2</v>
      </c>
      <c r="J27" s="177"/>
      <c r="K27" s="179"/>
    </row>
    <row r="28" spans="1:11" ht="15" customHeight="1" thickBot="1">
      <c r="A28" s="162" t="s">
        <v>9</v>
      </c>
      <c r="B28" s="166" t="s">
        <v>255</v>
      </c>
      <c r="C28" s="198"/>
      <c r="D28" s="175"/>
      <c r="E28" s="195"/>
      <c r="F28" s="195"/>
      <c r="G28" s="175"/>
      <c r="H28" s="124" t="s">
        <v>244</v>
      </c>
      <c r="I28" s="147">
        <v>2</v>
      </c>
      <c r="J28" s="177"/>
      <c r="K28" s="179"/>
    </row>
    <row r="29" spans="1:11" ht="15" customHeight="1" thickBot="1">
      <c r="A29" s="162" t="s">
        <v>9</v>
      </c>
      <c r="B29" s="166" t="s">
        <v>255</v>
      </c>
      <c r="C29" s="198"/>
      <c r="D29" s="175"/>
      <c r="E29" s="195"/>
      <c r="F29" s="195"/>
      <c r="G29" s="175"/>
      <c r="H29" s="125" t="s">
        <v>257</v>
      </c>
      <c r="I29" s="147">
        <v>4</v>
      </c>
      <c r="J29" s="177"/>
      <c r="K29" s="179"/>
    </row>
    <row r="30" spans="1:11" ht="15" customHeight="1" thickBot="1">
      <c r="A30" s="162" t="s">
        <v>9</v>
      </c>
      <c r="B30" s="166" t="s">
        <v>255</v>
      </c>
      <c r="C30" s="198"/>
      <c r="D30" s="175"/>
      <c r="E30" s="195"/>
      <c r="F30" s="195"/>
      <c r="G30" s="175"/>
      <c r="H30" t="s">
        <v>245</v>
      </c>
      <c r="I30" s="147">
        <v>2</v>
      </c>
      <c r="J30" s="177"/>
      <c r="K30" s="179"/>
    </row>
    <row r="31" spans="1:11" ht="15" customHeight="1" thickBot="1">
      <c r="A31" s="162" t="s">
        <v>9</v>
      </c>
      <c r="B31" s="166" t="s">
        <v>255</v>
      </c>
      <c r="C31" s="198"/>
      <c r="D31" s="175"/>
      <c r="E31" s="195"/>
      <c r="F31" s="195"/>
      <c r="G31" s="175"/>
      <c r="H31" s="167" t="s">
        <v>230</v>
      </c>
      <c r="I31" s="147">
        <v>3</v>
      </c>
      <c r="J31" s="177"/>
      <c r="K31" s="179"/>
    </row>
    <row r="32" spans="1:11" ht="15" customHeight="1" thickBot="1">
      <c r="A32" s="162" t="s">
        <v>9</v>
      </c>
      <c r="B32" s="166" t="s">
        <v>255</v>
      </c>
      <c r="C32" s="193" t="s">
        <v>11</v>
      </c>
      <c r="D32" s="175">
        <v>45772</v>
      </c>
      <c r="E32" s="195">
        <v>100</v>
      </c>
      <c r="F32" s="195">
        <v>1</v>
      </c>
      <c r="G32" s="175">
        <v>45777</v>
      </c>
      <c r="H32" s="125" t="s">
        <v>231</v>
      </c>
      <c r="I32" s="147">
        <v>1</v>
      </c>
      <c r="J32" s="177">
        <v>45791</v>
      </c>
      <c r="K32" s="179">
        <f t="shared" ref="K32" si="2">+J32-G32</f>
        <v>14</v>
      </c>
    </row>
    <row r="33" spans="1:11" ht="15" customHeight="1" thickBot="1">
      <c r="A33" s="162" t="s">
        <v>9</v>
      </c>
      <c r="B33" s="166" t="s">
        <v>255</v>
      </c>
      <c r="C33" s="193"/>
      <c r="D33" s="175"/>
      <c r="E33" s="195"/>
      <c r="F33" s="195"/>
      <c r="G33" s="175"/>
      <c r="H33" s="125" t="s">
        <v>257</v>
      </c>
      <c r="I33" s="147">
        <v>1</v>
      </c>
      <c r="J33" s="177"/>
      <c r="K33" s="179"/>
    </row>
    <row r="34" spans="1:11" ht="15" customHeight="1" thickBot="1">
      <c r="A34" s="162" t="s">
        <v>9</v>
      </c>
      <c r="B34" s="166" t="s">
        <v>255</v>
      </c>
      <c r="C34" s="194"/>
      <c r="D34" s="190"/>
      <c r="E34" s="196"/>
      <c r="F34" s="196"/>
      <c r="G34" s="190"/>
      <c r="H34" s="127" t="s">
        <v>230</v>
      </c>
      <c r="I34" s="148">
        <v>1</v>
      </c>
      <c r="J34" s="191"/>
      <c r="K34" s="192"/>
    </row>
    <row r="35" spans="1:11" ht="15.75" customHeight="1" thickBot="1">
      <c r="A35" s="162" t="s">
        <v>13</v>
      </c>
      <c r="B35" s="166" t="s">
        <v>255</v>
      </c>
      <c r="C35" s="197" t="s">
        <v>23</v>
      </c>
      <c r="D35" s="174">
        <v>45741</v>
      </c>
      <c r="E35" s="199">
        <v>250</v>
      </c>
      <c r="F35" s="199">
        <v>6</v>
      </c>
      <c r="G35" s="174">
        <v>45773</v>
      </c>
      <c r="H35" s="128" t="s">
        <v>230</v>
      </c>
      <c r="I35" s="149">
        <v>1</v>
      </c>
      <c r="J35" s="176">
        <v>45791</v>
      </c>
      <c r="K35" s="178">
        <f>+J35-G35</f>
        <v>18</v>
      </c>
    </row>
    <row r="36" spans="1:11" ht="15" customHeight="1" thickBot="1">
      <c r="A36" s="162" t="s">
        <v>13</v>
      </c>
      <c r="B36" s="166" t="s">
        <v>255</v>
      </c>
      <c r="C36" s="198"/>
      <c r="D36" s="175"/>
      <c r="E36" s="195"/>
      <c r="F36" s="195"/>
      <c r="G36" s="175"/>
      <c r="H36" t="s">
        <v>245</v>
      </c>
      <c r="I36" s="150">
        <v>3</v>
      </c>
      <c r="J36" s="177"/>
      <c r="K36" s="179"/>
    </row>
    <row r="37" spans="1:11" ht="15" customHeight="1" thickBot="1">
      <c r="A37" s="162" t="s">
        <v>13</v>
      </c>
      <c r="B37" s="166" t="s">
        <v>255</v>
      </c>
      <c r="C37" s="198"/>
      <c r="D37" s="175"/>
      <c r="E37" s="195"/>
      <c r="F37" s="195"/>
      <c r="G37" s="175"/>
      <c r="H37" s="125" t="s">
        <v>257</v>
      </c>
      <c r="I37" s="150">
        <v>2</v>
      </c>
      <c r="J37" s="177"/>
      <c r="K37" s="179"/>
    </row>
    <row r="38" spans="1:11" ht="15" customHeight="1" thickBot="1">
      <c r="A38" s="162" t="s">
        <v>13</v>
      </c>
      <c r="B38" s="166" t="s">
        <v>255</v>
      </c>
      <c r="C38" s="198"/>
      <c r="D38" s="175"/>
      <c r="E38" s="195"/>
      <c r="F38" s="195"/>
      <c r="G38" s="175"/>
      <c r="H38" s="129" t="s">
        <v>231</v>
      </c>
      <c r="I38" s="150">
        <v>1</v>
      </c>
      <c r="J38" s="177"/>
      <c r="K38" s="179"/>
    </row>
    <row r="39" spans="1:11" ht="15" customHeight="1" thickBot="1">
      <c r="A39" s="162" t="s">
        <v>13</v>
      </c>
      <c r="B39" s="166" t="s">
        <v>255</v>
      </c>
      <c r="C39" s="198"/>
      <c r="D39" s="175"/>
      <c r="E39" s="195"/>
      <c r="F39" s="195"/>
      <c r="G39" s="175"/>
      <c r="H39" s="129" t="s">
        <v>232</v>
      </c>
      <c r="I39" s="150">
        <v>1</v>
      </c>
      <c r="J39" s="177"/>
      <c r="K39" s="179"/>
    </row>
    <row r="40" spans="1:11" ht="15" customHeight="1" thickBot="1">
      <c r="A40" s="162" t="s">
        <v>13</v>
      </c>
      <c r="B40" s="166" t="s">
        <v>255</v>
      </c>
      <c r="C40" s="198"/>
      <c r="D40" s="175"/>
      <c r="E40" s="195"/>
      <c r="F40" s="195"/>
      <c r="G40" s="175"/>
      <c r="H40" s="129" t="s">
        <v>229</v>
      </c>
      <c r="I40" s="150">
        <v>4</v>
      </c>
      <c r="J40" s="177"/>
      <c r="K40" s="179"/>
    </row>
    <row r="41" spans="1:11" ht="15" customHeight="1" thickBot="1">
      <c r="A41" s="162" t="s">
        <v>13</v>
      </c>
      <c r="B41" s="166" t="s">
        <v>255</v>
      </c>
      <c r="C41" s="198"/>
      <c r="D41" s="175"/>
      <c r="E41" s="195"/>
      <c r="F41" s="195"/>
      <c r="G41" s="175"/>
      <c r="H41" s="129" t="s">
        <v>246</v>
      </c>
      <c r="I41" s="150">
        <v>1</v>
      </c>
      <c r="J41" s="177"/>
      <c r="K41" s="179"/>
    </row>
    <row r="42" spans="1:11" ht="15" customHeight="1" thickBot="1">
      <c r="A42" s="162" t="s">
        <v>13</v>
      </c>
      <c r="B42" s="166" t="s">
        <v>255</v>
      </c>
      <c r="C42" s="198"/>
      <c r="D42" s="175"/>
      <c r="E42" s="195"/>
      <c r="F42" s="195"/>
      <c r="G42" s="175"/>
      <c r="H42" s="117" t="s">
        <v>235</v>
      </c>
      <c r="I42" s="150">
        <v>4</v>
      </c>
      <c r="J42" s="177"/>
      <c r="K42" s="179"/>
    </row>
    <row r="43" spans="1:11" ht="15" customHeight="1" thickBot="1">
      <c r="A43" s="162" t="s">
        <v>13</v>
      </c>
      <c r="B43" s="166" t="s">
        <v>255</v>
      </c>
      <c r="C43" s="198"/>
      <c r="D43" s="175"/>
      <c r="E43" s="195"/>
      <c r="F43" s="195"/>
      <c r="G43" s="175"/>
      <c r="H43" s="129" t="s">
        <v>247</v>
      </c>
      <c r="I43" s="150">
        <v>2</v>
      </c>
      <c r="J43" s="177"/>
      <c r="K43" s="179"/>
    </row>
    <row r="44" spans="1:11" ht="15" customHeight="1" thickBot="1">
      <c r="A44" s="162" t="s">
        <v>13</v>
      </c>
      <c r="B44" s="166" t="s">
        <v>255</v>
      </c>
      <c r="C44" s="198"/>
      <c r="D44" s="175"/>
      <c r="E44" s="195"/>
      <c r="F44" s="195"/>
      <c r="G44" s="175"/>
      <c r="H44" s="121" t="s">
        <v>238</v>
      </c>
      <c r="I44" s="150">
        <v>1</v>
      </c>
      <c r="J44" s="177"/>
      <c r="K44" s="179"/>
    </row>
    <row r="45" spans="1:11" ht="15" customHeight="1" thickBot="1">
      <c r="A45" s="162" t="s">
        <v>13</v>
      </c>
      <c r="B45" s="166" t="s">
        <v>255</v>
      </c>
      <c r="C45" s="198"/>
      <c r="D45" s="175"/>
      <c r="E45" s="195"/>
      <c r="F45" s="195"/>
      <c r="G45" s="175"/>
      <c r="H45" s="129" t="s">
        <v>236</v>
      </c>
      <c r="I45" s="150">
        <v>1</v>
      </c>
      <c r="J45" s="177"/>
      <c r="K45" s="179"/>
    </row>
    <row r="46" spans="1:11" ht="15.75" customHeight="1" thickBot="1">
      <c r="A46" s="162" t="s">
        <v>13</v>
      </c>
      <c r="B46" s="166" t="s">
        <v>255</v>
      </c>
      <c r="C46" s="200"/>
      <c r="D46" s="190"/>
      <c r="E46" s="196"/>
      <c r="F46" s="196"/>
      <c r="G46" s="190"/>
      <c r="H46" s="130" t="s">
        <v>261</v>
      </c>
      <c r="I46" s="151">
        <v>1</v>
      </c>
      <c r="J46" s="191"/>
      <c r="K46" s="192"/>
    </row>
    <row r="47" spans="1:11" ht="15.75">
      <c r="A47" s="131" t="s">
        <v>14</v>
      </c>
      <c r="B47" s="131" t="s">
        <v>215</v>
      </c>
      <c r="C47" s="112" t="s">
        <v>15</v>
      </c>
      <c r="D47" s="113">
        <v>45591</v>
      </c>
      <c r="E47" s="163">
        <v>50</v>
      </c>
      <c r="F47" s="140">
        <v>28</v>
      </c>
      <c r="G47" s="114">
        <v>45668</v>
      </c>
      <c r="H47" s="114" t="s">
        <v>231</v>
      </c>
      <c r="I47" s="143">
        <v>28</v>
      </c>
      <c r="J47" s="115">
        <v>45791</v>
      </c>
      <c r="K47" s="154">
        <f>+J47-G47</f>
        <v>123</v>
      </c>
    </row>
    <row r="48" spans="1:11" ht="16.5" thickBot="1">
      <c r="A48" s="132" t="s">
        <v>16</v>
      </c>
      <c r="B48" s="132" t="s">
        <v>215</v>
      </c>
      <c r="C48" s="133" t="s">
        <v>17</v>
      </c>
      <c r="D48" s="134" t="s">
        <v>18</v>
      </c>
      <c r="E48" s="164">
        <v>500</v>
      </c>
      <c r="F48" s="145">
        <v>85</v>
      </c>
      <c r="G48" s="119">
        <v>45668</v>
      </c>
      <c r="H48" s="135" t="s">
        <v>231</v>
      </c>
      <c r="I48" s="152">
        <v>85</v>
      </c>
      <c r="J48" s="120">
        <v>45791</v>
      </c>
      <c r="K48" s="155">
        <f>+J48-G48</f>
        <v>123</v>
      </c>
    </row>
    <row r="49" spans="1:11" ht="15" customHeight="1" thickBot="1">
      <c r="A49" s="162" t="s">
        <v>21</v>
      </c>
      <c r="B49" s="162" t="s">
        <v>262</v>
      </c>
      <c r="C49" s="197" t="s">
        <v>22</v>
      </c>
      <c r="D49" s="174">
        <v>45772</v>
      </c>
      <c r="E49" s="199">
        <v>50</v>
      </c>
      <c r="F49" s="199">
        <v>5</v>
      </c>
      <c r="G49" s="174">
        <v>45777</v>
      </c>
      <c r="H49" s="136" t="s">
        <v>248</v>
      </c>
      <c r="I49" s="146">
        <v>2</v>
      </c>
      <c r="J49" s="176">
        <v>45791</v>
      </c>
      <c r="K49" s="178">
        <f>+J49-G49</f>
        <v>14</v>
      </c>
    </row>
    <row r="50" spans="1:11" ht="15" customHeight="1" thickBot="1">
      <c r="A50" s="162" t="s">
        <v>21</v>
      </c>
      <c r="B50" s="162" t="s">
        <v>262</v>
      </c>
      <c r="C50" s="198"/>
      <c r="D50" s="175"/>
      <c r="E50" s="195"/>
      <c r="F50" s="195"/>
      <c r="G50" s="175"/>
      <c r="H50" s="123" t="s">
        <v>243</v>
      </c>
      <c r="I50" s="147">
        <v>1</v>
      </c>
      <c r="J50" s="177"/>
      <c r="K50" s="179"/>
    </row>
    <row r="51" spans="1:11" ht="15" customHeight="1" thickBot="1">
      <c r="A51" s="162" t="s">
        <v>21</v>
      </c>
      <c r="B51" s="162" t="s">
        <v>262</v>
      </c>
      <c r="C51" s="198"/>
      <c r="D51" s="175"/>
      <c r="E51" s="195"/>
      <c r="F51" s="195"/>
      <c r="G51" s="175"/>
      <c r="H51" s="123" t="s">
        <v>249</v>
      </c>
      <c r="I51" s="147">
        <v>2</v>
      </c>
      <c r="J51" s="177"/>
      <c r="K51" s="179"/>
    </row>
    <row r="52" spans="1:11" ht="15.75" customHeight="1" thickBot="1">
      <c r="A52" s="162" t="s">
        <v>21</v>
      </c>
      <c r="B52" s="162" t="s">
        <v>262</v>
      </c>
      <c r="C52" s="200"/>
      <c r="D52" s="190"/>
      <c r="E52" s="196"/>
      <c r="F52" s="196"/>
      <c r="G52" s="190"/>
      <c r="H52" s="126" t="s">
        <v>231</v>
      </c>
      <c r="I52" s="148">
        <v>3</v>
      </c>
      <c r="J52" s="191"/>
      <c r="K52" s="192"/>
    </row>
    <row r="53" spans="1:11" ht="16.5" thickBot="1">
      <c r="A53" s="162" t="s">
        <v>19</v>
      </c>
      <c r="B53" s="162" t="s">
        <v>262</v>
      </c>
      <c r="C53" s="197" t="s">
        <v>20</v>
      </c>
      <c r="D53" s="174">
        <v>45713</v>
      </c>
      <c r="E53" s="199">
        <v>100</v>
      </c>
      <c r="F53" s="199">
        <v>15</v>
      </c>
      <c r="G53" s="174">
        <v>45733</v>
      </c>
      <c r="H53" s="137" t="s">
        <v>250</v>
      </c>
      <c r="I53" s="143">
        <v>4</v>
      </c>
      <c r="J53" s="176">
        <v>45791</v>
      </c>
      <c r="K53" s="178">
        <f t="shared" si="0"/>
        <v>58</v>
      </c>
    </row>
    <row r="54" spans="1:11" ht="16.5" thickBot="1">
      <c r="A54" s="162" t="s">
        <v>19</v>
      </c>
      <c r="B54" s="162" t="s">
        <v>262</v>
      </c>
      <c r="C54" s="198"/>
      <c r="D54" s="175"/>
      <c r="E54" s="195"/>
      <c r="F54" s="195"/>
      <c r="G54" s="175"/>
      <c r="H54" s="138" t="s">
        <v>157</v>
      </c>
      <c r="I54" s="144">
        <v>4</v>
      </c>
      <c r="J54" s="177"/>
      <c r="K54" s="179"/>
    </row>
    <row r="55" spans="1:11" ht="15" customHeight="1" thickBot="1">
      <c r="A55" s="162" t="s">
        <v>19</v>
      </c>
      <c r="B55" s="162" t="s">
        <v>262</v>
      </c>
      <c r="C55" s="198"/>
      <c r="D55" s="175"/>
      <c r="E55" s="195"/>
      <c r="F55" s="195"/>
      <c r="G55" s="175"/>
      <c r="H55" s="139" t="s">
        <v>251</v>
      </c>
      <c r="I55" s="147">
        <v>1</v>
      </c>
      <c r="J55" s="177"/>
      <c r="K55" s="179"/>
    </row>
    <row r="56" spans="1:11" ht="15.75" customHeight="1" thickBot="1">
      <c r="A56" s="162" t="s">
        <v>19</v>
      </c>
      <c r="B56" s="162" t="s">
        <v>262</v>
      </c>
      <c r="C56" s="198"/>
      <c r="D56" s="175"/>
      <c r="E56" s="195"/>
      <c r="F56" s="195"/>
      <c r="G56" s="175"/>
      <c r="H56" s="139" t="s">
        <v>252</v>
      </c>
      <c r="I56" s="153">
        <v>3</v>
      </c>
      <c r="J56" s="177"/>
      <c r="K56" s="179"/>
    </row>
    <row r="57" spans="1:11" ht="15.75" customHeight="1" thickBot="1">
      <c r="A57" s="162" t="s">
        <v>19</v>
      </c>
      <c r="B57" s="162" t="s">
        <v>262</v>
      </c>
      <c r="C57" s="198"/>
      <c r="D57" s="175"/>
      <c r="E57" s="195"/>
      <c r="F57" s="195"/>
      <c r="G57" s="175"/>
      <c r="H57" s="138" t="s">
        <v>248</v>
      </c>
      <c r="I57" s="147">
        <v>3</v>
      </c>
      <c r="J57" s="177"/>
      <c r="K57" s="179"/>
    </row>
    <row r="58" spans="1:11" ht="15.75" customHeight="1" thickBot="1">
      <c r="A58" s="162" t="s">
        <v>19</v>
      </c>
      <c r="B58" s="162" t="s">
        <v>262</v>
      </c>
      <c r="C58" s="205"/>
      <c r="D58" s="206"/>
      <c r="E58" s="207"/>
      <c r="F58" s="207"/>
      <c r="G58" s="206"/>
      <c r="H58" s="156" t="s">
        <v>231</v>
      </c>
      <c r="I58" s="157">
        <v>9</v>
      </c>
      <c r="J58" s="208"/>
      <c r="K58" s="201"/>
    </row>
    <row r="59" spans="1:11" ht="15.75" thickBot="1">
      <c r="A59" s="202" t="s">
        <v>24</v>
      </c>
      <c r="B59" s="203"/>
      <c r="C59" s="204"/>
      <c r="D59" s="204"/>
      <c r="E59" s="168">
        <f>SUM(E2:E58)</f>
        <v>2300</v>
      </c>
      <c r="F59" s="168">
        <f>SUM(F2:F58)</f>
        <v>232</v>
      </c>
      <c r="G59" s="158"/>
      <c r="H59" s="158"/>
      <c r="I59" s="160">
        <f>SUM(I2:I58)</f>
        <v>315</v>
      </c>
      <c r="J59" s="158"/>
      <c r="K59" s="159"/>
    </row>
  </sheetData>
  <mergeCells count="50">
    <mergeCell ref="C49:C52"/>
    <mergeCell ref="D49:D52"/>
    <mergeCell ref="E49:E52"/>
    <mergeCell ref="K53:K58"/>
    <mergeCell ref="A59:D59"/>
    <mergeCell ref="G49:G52"/>
    <mergeCell ref="J49:J52"/>
    <mergeCell ref="K49:K52"/>
    <mergeCell ref="C53:C58"/>
    <mergeCell ref="D53:D58"/>
    <mergeCell ref="E53:E58"/>
    <mergeCell ref="F53:F58"/>
    <mergeCell ref="G53:G58"/>
    <mergeCell ref="J53:J58"/>
    <mergeCell ref="F49:F52"/>
    <mergeCell ref="J35:J46"/>
    <mergeCell ref="K35:K46"/>
    <mergeCell ref="G35:G46"/>
    <mergeCell ref="C19:C31"/>
    <mergeCell ref="D19:D31"/>
    <mergeCell ref="E19:E31"/>
    <mergeCell ref="F19:F31"/>
    <mergeCell ref="F35:F46"/>
    <mergeCell ref="E35:E46"/>
    <mergeCell ref="D35:D46"/>
    <mergeCell ref="C35:C46"/>
    <mergeCell ref="G19:G31"/>
    <mergeCell ref="J19:J31"/>
    <mergeCell ref="K19:K31"/>
    <mergeCell ref="J32:J34"/>
    <mergeCell ref="K32:K34"/>
    <mergeCell ref="C32:C34"/>
    <mergeCell ref="D32:D34"/>
    <mergeCell ref="E32:E34"/>
    <mergeCell ref="F32:F34"/>
    <mergeCell ref="G32:G34"/>
    <mergeCell ref="F2:F3"/>
    <mergeCell ref="G2:G3"/>
    <mergeCell ref="J2:J3"/>
    <mergeCell ref="K2:K3"/>
    <mergeCell ref="C4:C18"/>
    <mergeCell ref="D4:D18"/>
    <mergeCell ref="E4:E18"/>
    <mergeCell ref="C2:C3"/>
    <mergeCell ref="D2:D3"/>
    <mergeCell ref="E2:E3"/>
    <mergeCell ref="F4:F18"/>
    <mergeCell ref="G4:G18"/>
    <mergeCell ref="J4:J18"/>
    <mergeCell ref="K4:K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A10" sqref="A10"/>
    </sheetView>
  </sheetViews>
  <sheetFormatPr defaultColWidth="9.140625" defaultRowHeight="15"/>
  <cols>
    <col min="1" max="1" width="39.28515625" style="13" bestFit="1" customWidth="1"/>
    <col min="2" max="2" width="21.85546875" style="13" bestFit="1" customWidth="1"/>
    <col min="3" max="3" width="17.42578125" style="13" customWidth="1"/>
    <col min="4" max="4" width="10" style="13" customWidth="1"/>
    <col min="5" max="5" width="13.28515625" style="13" customWidth="1"/>
    <col min="6" max="6" width="14" style="13" customWidth="1"/>
    <col min="7" max="7" width="18.42578125" style="13" customWidth="1"/>
    <col min="8" max="16384" width="9.140625" style="13"/>
  </cols>
  <sheetData>
    <row r="1" spans="1:6" s="2" customFormat="1" ht="30">
      <c r="A1" s="19" t="s">
        <v>0</v>
      </c>
      <c r="B1" s="20" t="s">
        <v>25</v>
      </c>
      <c r="C1" s="19" t="s">
        <v>1</v>
      </c>
      <c r="D1" s="20" t="s">
        <v>3</v>
      </c>
      <c r="E1" s="20"/>
      <c r="F1" s="20" t="s">
        <v>26</v>
      </c>
    </row>
    <row r="2" spans="1:6" s="2" customFormat="1" ht="30">
      <c r="A2" s="6" t="s">
        <v>27</v>
      </c>
      <c r="B2" s="10">
        <v>45534</v>
      </c>
      <c r="C2" s="11" t="s">
        <v>28</v>
      </c>
      <c r="D2" s="12">
        <v>500</v>
      </c>
      <c r="E2" s="6">
        <v>22</v>
      </c>
      <c r="F2" s="6">
        <v>0</v>
      </c>
    </row>
    <row r="3" spans="1:6" s="2" customFormat="1" ht="30">
      <c r="A3" s="6" t="s">
        <v>29</v>
      </c>
      <c r="B3" s="10">
        <v>45534</v>
      </c>
      <c r="C3" s="6" t="s">
        <v>30</v>
      </c>
      <c r="D3" s="12">
        <v>50</v>
      </c>
      <c r="E3" s="6">
        <v>1</v>
      </c>
      <c r="F3" s="6">
        <v>0</v>
      </c>
    </row>
    <row r="4" spans="1:6" ht="30">
      <c r="A4" s="6" t="s">
        <v>31</v>
      </c>
      <c r="B4" s="10">
        <v>45554</v>
      </c>
      <c r="C4" s="11" t="s">
        <v>32</v>
      </c>
      <c r="D4" s="12">
        <f>100-(E4+F4)</f>
        <v>98</v>
      </c>
      <c r="E4" s="7">
        <v>2</v>
      </c>
      <c r="F4" s="7">
        <v>0</v>
      </c>
    </row>
    <row r="5" spans="1:6" s="2" customFormat="1" ht="30">
      <c r="A5" s="24" t="s">
        <v>33</v>
      </c>
      <c r="B5" s="25" t="s">
        <v>34</v>
      </c>
      <c r="C5" s="24" t="s">
        <v>35</v>
      </c>
      <c r="D5" s="12">
        <f>450-(E5+F5)</f>
        <v>443</v>
      </c>
      <c r="E5" s="1">
        <v>3</v>
      </c>
      <c r="F5" s="1">
        <v>4</v>
      </c>
    </row>
    <row r="6" spans="1:6" s="2" customFormat="1" ht="30">
      <c r="A6" s="6" t="s">
        <v>36</v>
      </c>
      <c r="B6" s="10" t="s">
        <v>37</v>
      </c>
      <c r="C6" s="11" t="s">
        <v>38</v>
      </c>
      <c r="D6" s="12">
        <f>100-(E6+F6)</f>
        <v>97</v>
      </c>
      <c r="E6" s="15">
        <v>3</v>
      </c>
      <c r="F6" s="1">
        <v>0</v>
      </c>
    </row>
    <row r="7" spans="1:6" s="2" customFormat="1">
      <c r="A7" s="10" t="s">
        <v>39</v>
      </c>
      <c r="B7" s="10">
        <v>45584</v>
      </c>
      <c r="C7" s="11" t="s">
        <v>40</v>
      </c>
      <c r="D7" s="12">
        <f>100-(E7+F7)</f>
        <v>99</v>
      </c>
      <c r="E7" s="6">
        <v>0</v>
      </c>
      <c r="F7" s="6">
        <v>1</v>
      </c>
    </row>
    <row r="8" spans="1:6" s="2" customFormat="1" ht="30">
      <c r="A8" s="21" t="s">
        <v>41</v>
      </c>
      <c r="B8" s="10">
        <v>45591</v>
      </c>
      <c r="C8" s="6" t="s">
        <v>42</v>
      </c>
      <c r="D8" s="12">
        <f>50-(E8+F8)</f>
        <v>49</v>
      </c>
      <c r="E8" s="6">
        <v>1</v>
      </c>
      <c r="F8" s="1">
        <v>0</v>
      </c>
    </row>
    <row r="9" spans="1:6" ht="30">
      <c r="A9" s="11" t="s">
        <v>43</v>
      </c>
      <c r="B9" s="10">
        <v>45595</v>
      </c>
      <c r="C9" s="11" t="s">
        <v>44</v>
      </c>
      <c r="D9" s="12">
        <f>500-(E9+F9)</f>
        <v>476</v>
      </c>
      <c r="E9" s="6">
        <v>24</v>
      </c>
      <c r="F9" s="1">
        <v>0</v>
      </c>
    </row>
    <row r="10" spans="1:6" s="2" customFormat="1" ht="30">
      <c r="A10" s="6" t="s">
        <v>45</v>
      </c>
      <c r="B10" s="10">
        <v>45602</v>
      </c>
      <c r="C10" s="11" t="s">
        <v>46</v>
      </c>
      <c r="D10" s="12">
        <f>50-(E10+F10)</f>
        <v>36</v>
      </c>
      <c r="E10" s="6">
        <v>14</v>
      </c>
      <c r="F10" s="1">
        <v>0</v>
      </c>
    </row>
    <row r="11" spans="1:6" s="2" customFormat="1">
      <c r="A11" s="211" t="s">
        <v>47</v>
      </c>
      <c r="B11" s="213">
        <v>45608</v>
      </c>
      <c r="C11" s="211" t="s">
        <v>48</v>
      </c>
      <c r="D11" s="12">
        <f>100-(E11+F11)</f>
        <v>99</v>
      </c>
      <c r="E11" s="6">
        <v>1</v>
      </c>
      <c r="F11" s="1">
        <v>0</v>
      </c>
    </row>
    <row r="12" spans="1:6" s="2" customFormat="1">
      <c r="A12" s="212"/>
      <c r="B12" s="214"/>
      <c r="C12" s="215"/>
      <c r="D12" s="12">
        <f>100-(E12+F12)</f>
        <v>98</v>
      </c>
      <c r="E12" s="6">
        <v>2</v>
      </c>
      <c r="F12" s="1">
        <v>0</v>
      </c>
    </row>
    <row r="13" spans="1:6" s="2" customFormat="1">
      <c r="A13" s="14" t="s">
        <v>49</v>
      </c>
      <c r="B13" s="21">
        <v>45624</v>
      </c>
      <c r="C13" s="14" t="s">
        <v>50</v>
      </c>
      <c r="D13" s="22">
        <v>50</v>
      </c>
      <c r="E13" s="22">
        <v>0</v>
      </c>
      <c r="F13" s="22">
        <v>0</v>
      </c>
    </row>
    <row r="14" spans="1:6" ht="30">
      <c r="A14" s="26" t="s">
        <v>51</v>
      </c>
      <c r="B14" s="27">
        <v>45667</v>
      </c>
      <c r="C14" s="26" t="s">
        <v>52</v>
      </c>
      <c r="D14" s="4">
        <f>100-(E14+F14)</f>
        <v>82</v>
      </c>
      <c r="E14" s="4">
        <v>17</v>
      </c>
      <c r="F14" s="4">
        <v>1</v>
      </c>
    </row>
    <row r="15" spans="1:6" ht="30">
      <c r="A15" s="26" t="s">
        <v>53</v>
      </c>
      <c r="B15" s="8" t="s">
        <v>54</v>
      </c>
      <c r="C15" s="9" t="s">
        <v>55</v>
      </c>
      <c r="D15" s="4">
        <f>200-(E15+F15)</f>
        <v>196</v>
      </c>
      <c r="E15" s="3">
        <v>2</v>
      </c>
      <c r="F15" s="3">
        <v>2</v>
      </c>
    </row>
    <row r="16" spans="1:6">
      <c r="A16" s="209" t="s">
        <v>56</v>
      </c>
      <c r="B16" s="17">
        <v>45636</v>
      </c>
      <c r="C16" s="3" t="s">
        <v>57</v>
      </c>
      <c r="D16" s="4">
        <f>15-(E16+F16)</f>
        <v>12</v>
      </c>
      <c r="E16" s="3">
        <v>0</v>
      </c>
      <c r="F16" s="3">
        <v>3</v>
      </c>
    </row>
    <row r="17" spans="1:6">
      <c r="A17" s="210"/>
      <c r="B17" s="17">
        <v>45675</v>
      </c>
      <c r="C17" s="3" t="s">
        <v>58</v>
      </c>
      <c r="D17" s="4">
        <f>15-(E17+F17)</f>
        <v>13</v>
      </c>
      <c r="E17" s="3">
        <v>2</v>
      </c>
      <c r="F17" s="3">
        <v>0</v>
      </c>
    </row>
    <row r="18" spans="1:6">
      <c r="A18" s="210"/>
      <c r="B18" s="23">
        <v>45677</v>
      </c>
      <c r="C18" s="6" t="s">
        <v>59</v>
      </c>
      <c r="D18" s="6">
        <v>14</v>
      </c>
      <c r="E18" s="6">
        <v>1</v>
      </c>
      <c r="F18" s="6">
        <v>0</v>
      </c>
    </row>
    <row r="19" spans="1:6" ht="30">
      <c r="A19" s="26" t="s">
        <v>60</v>
      </c>
      <c r="B19" s="28">
        <v>45692</v>
      </c>
      <c r="C19" s="26" t="s">
        <v>61</v>
      </c>
      <c r="D19" s="7"/>
      <c r="E19" s="3">
        <v>31</v>
      </c>
      <c r="F19" s="18">
        <v>3</v>
      </c>
    </row>
    <row r="20" spans="1:6" ht="30">
      <c r="A20" s="29" t="s">
        <v>62</v>
      </c>
      <c r="B20" s="25" t="s">
        <v>18</v>
      </c>
      <c r="C20" s="24" t="s">
        <v>63</v>
      </c>
      <c r="D20" s="16">
        <v>494</v>
      </c>
      <c r="E20" s="1">
        <v>6</v>
      </c>
      <c r="F20" s="1">
        <v>0</v>
      </c>
    </row>
  </sheetData>
  <mergeCells count="4">
    <mergeCell ref="A16:A18"/>
    <mergeCell ref="A11:A12"/>
    <mergeCell ref="B11:B12"/>
    <mergeCell ref="C11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ySplit="1" topLeftCell="A2" activePane="bottomLeft" state="frozen"/>
      <selection pane="bottomLeft" activeCell="G6" sqref="G6"/>
    </sheetView>
  </sheetViews>
  <sheetFormatPr defaultColWidth="103.42578125" defaultRowHeight="15.75"/>
  <cols>
    <col min="1" max="1" width="11.5703125" style="95" bestFit="1" customWidth="1"/>
    <col min="2" max="2" width="16.140625" style="95" bestFit="1" customWidth="1"/>
    <col min="3" max="3" width="9.7109375" style="95" bestFit="1" customWidth="1"/>
    <col min="4" max="4" width="18.5703125" style="95" customWidth="1"/>
    <col min="5" max="5" width="12.7109375" style="95" bestFit="1" customWidth="1"/>
    <col min="6" max="6" width="34.5703125" style="95" bestFit="1" customWidth="1"/>
    <col min="7" max="7" width="54.85546875" style="95" customWidth="1"/>
    <col min="8" max="8" width="7.28515625" style="95" bestFit="1" customWidth="1"/>
    <col min="9" max="9" width="42.140625" style="95" customWidth="1"/>
    <col min="10" max="16384" width="103.42578125" style="95"/>
  </cols>
  <sheetData>
    <row r="1" spans="1:9" ht="47.25">
      <c r="A1" s="64" t="s">
        <v>2</v>
      </c>
      <c r="B1" s="63" t="s">
        <v>1</v>
      </c>
      <c r="C1" s="64" t="s">
        <v>3</v>
      </c>
      <c r="D1" s="64" t="s">
        <v>64</v>
      </c>
      <c r="E1" s="64" t="s">
        <v>65</v>
      </c>
      <c r="F1" s="64" t="s">
        <v>66</v>
      </c>
      <c r="G1" s="93" t="s">
        <v>201</v>
      </c>
      <c r="H1" s="64" t="s">
        <v>68</v>
      </c>
      <c r="I1" s="94" t="s">
        <v>69</v>
      </c>
    </row>
    <row r="2" spans="1:9" ht="31.5">
      <c r="A2" s="96">
        <v>45657</v>
      </c>
      <c r="B2" s="97" t="s">
        <v>7</v>
      </c>
      <c r="C2" s="98">
        <v>500</v>
      </c>
      <c r="D2" s="98">
        <v>77</v>
      </c>
      <c r="E2" s="99">
        <v>13.000481000000001</v>
      </c>
      <c r="F2" s="99" t="s">
        <v>81</v>
      </c>
      <c r="G2" s="61" t="s">
        <v>203</v>
      </c>
      <c r="H2" s="100">
        <v>77</v>
      </c>
      <c r="I2" s="101"/>
    </row>
    <row r="3" spans="1:9">
      <c r="A3" s="216">
        <v>45731</v>
      </c>
      <c r="B3" s="218" t="s">
        <v>8</v>
      </c>
      <c r="C3" s="218">
        <v>500</v>
      </c>
      <c r="D3" s="218">
        <v>6</v>
      </c>
      <c r="E3" s="102" t="s">
        <v>76</v>
      </c>
      <c r="F3" s="102" t="s">
        <v>83</v>
      </c>
      <c r="G3" s="61" t="s">
        <v>84</v>
      </c>
      <c r="H3" s="100">
        <v>6</v>
      </c>
      <c r="I3" s="217" t="s">
        <v>85</v>
      </c>
    </row>
    <row r="4" spans="1:9">
      <c r="A4" s="216"/>
      <c r="B4" s="218"/>
      <c r="C4" s="218"/>
      <c r="D4" s="218"/>
      <c r="E4" s="102" t="s">
        <v>77</v>
      </c>
      <c r="F4" s="102" t="s">
        <v>78</v>
      </c>
      <c r="G4" s="61" t="s">
        <v>87</v>
      </c>
      <c r="H4" s="100">
        <v>2</v>
      </c>
      <c r="I4" s="217"/>
    </row>
    <row r="5" spans="1:9" ht="31.5">
      <c r="A5" s="216"/>
      <c r="B5" s="218"/>
      <c r="C5" s="218"/>
      <c r="D5" s="218"/>
      <c r="E5" s="102" t="s">
        <v>79</v>
      </c>
      <c r="F5" s="102" t="s">
        <v>80</v>
      </c>
      <c r="G5" s="61" t="s">
        <v>88</v>
      </c>
      <c r="H5" s="100">
        <v>3</v>
      </c>
      <c r="I5" s="217"/>
    </row>
    <row r="6" spans="1:9" ht="63">
      <c r="A6" s="216"/>
      <c r="B6" s="218"/>
      <c r="C6" s="218"/>
      <c r="D6" s="218"/>
      <c r="E6" s="102" t="s">
        <v>74</v>
      </c>
      <c r="F6" s="102" t="s">
        <v>89</v>
      </c>
      <c r="G6" s="61" t="s">
        <v>90</v>
      </c>
      <c r="H6" s="100">
        <v>5</v>
      </c>
      <c r="I6" s="217"/>
    </row>
    <row r="7" spans="1:9" ht="47.25">
      <c r="A7" s="216"/>
      <c r="B7" s="218"/>
      <c r="C7" s="218"/>
      <c r="D7" s="218"/>
      <c r="E7" s="102" t="s">
        <v>82</v>
      </c>
      <c r="F7" s="61" t="s">
        <v>91</v>
      </c>
      <c r="G7" s="61" t="s">
        <v>92</v>
      </c>
      <c r="H7" s="100">
        <v>6</v>
      </c>
      <c r="I7" s="217"/>
    </row>
    <row r="8" spans="1:9">
      <c r="A8" s="216"/>
      <c r="B8" s="218"/>
      <c r="C8" s="218"/>
      <c r="D8" s="218"/>
      <c r="E8" s="102" t="s">
        <v>73</v>
      </c>
      <c r="F8" s="102" t="s">
        <v>93</v>
      </c>
      <c r="G8" s="61" t="s">
        <v>94</v>
      </c>
      <c r="H8" s="100">
        <v>1</v>
      </c>
      <c r="I8" s="217"/>
    </row>
    <row r="9" spans="1:9">
      <c r="A9" s="216"/>
      <c r="B9" s="218"/>
      <c r="C9" s="218"/>
      <c r="D9" s="218"/>
      <c r="E9" s="102" t="s">
        <v>95</v>
      </c>
      <c r="F9" s="102" t="s">
        <v>96</v>
      </c>
      <c r="G9" s="61" t="s">
        <v>97</v>
      </c>
      <c r="H9" s="100">
        <v>1</v>
      </c>
      <c r="I9" s="217"/>
    </row>
    <row r="10" spans="1:9">
      <c r="A10" s="216"/>
      <c r="B10" s="218"/>
      <c r="C10" s="218"/>
      <c r="D10" s="218"/>
      <c r="E10" s="102" t="s">
        <v>71</v>
      </c>
      <c r="F10" s="102" t="s">
        <v>98</v>
      </c>
      <c r="G10" s="61" t="s">
        <v>99</v>
      </c>
      <c r="H10" s="100">
        <v>3</v>
      </c>
      <c r="I10" s="217"/>
    </row>
    <row r="11" spans="1:9">
      <c r="A11" s="216"/>
      <c r="B11" s="218"/>
      <c r="C11" s="218"/>
      <c r="D11" s="218"/>
      <c r="E11" s="102" t="s">
        <v>100</v>
      </c>
      <c r="F11" s="102" t="s">
        <v>101</v>
      </c>
      <c r="G11" s="61" t="s">
        <v>102</v>
      </c>
      <c r="H11" s="100">
        <v>3</v>
      </c>
      <c r="I11" s="217"/>
    </row>
  </sheetData>
  <mergeCells count="5">
    <mergeCell ref="A3:A11"/>
    <mergeCell ref="I3:I11"/>
    <mergeCell ref="D3:D11"/>
    <mergeCell ref="C3:C11"/>
    <mergeCell ref="B3:B11"/>
  </mergeCells>
  <hyperlinks>
    <hyperlink ref="I3" r:id="rId1" xr:uid="{EFC0CFD6-2D4E-4230-80BC-FE9DF5A908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topLeftCell="D1" zoomScaleNormal="100" workbookViewId="0">
      <selection activeCell="I4" sqref="I4"/>
    </sheetView>
  </sheetViews>
  <sheetFormatPr defaultColWidth="100.5703125" defaultRowHeight="15"/>
  <cols>
    <col min="1" max="1" width="11.5703125" style="34" bestFit="1" customWidth="1"/>
    <col min="2" max="2" width="13.7109375" style="34" bestFit="1" customWidth="1"/>
    <col min="3" max="3" width="11.42578125" style="35" bestFit="1" customWidth="1"/>
    <col min="4" max="4" width="21.85546875" style="35" bestFit="1" customWidth="1"/>
    <col min="5" max="5" width="12" style="35" bestFit="1" customWidth="1"/>
    <col min="6" max="6" width="46.7109375" style="34" bestFit="1" customWidth="1"/>
    <col min="7" max="7" width="52.7109375" style="34" bestFit="1" customWidth="1"/>
    <col min="8" max="8" width="9.42578125" style="35" bestFit="1" customWidth="1"/>
    <col min="9" max="9" width="39.28515625" style="35" bestFit="1" customWidth="1"/>
    <col min="10" max="10" width="33.85546875" style="35" bestFit="1" customWidth="1"/>
    <col min="11" max="11" width="73" style="35" bestFit="1" customWidth="1"/>
    <col min="12" max="16384" width="100.5703125" style="35"/>
  </cols>
  <sheetData>
    <row r="1" spans="1:11" ht="30">
      <c r="A1" s="33" t="s">
        <v>2</v>
      </c>
      <c r="B1" s="33" t="s">
        <v>1</v>
      </c>
      <c r="C1" s="33" t="s">
        <v>3</v>
      </c>
      <c r="D1" s="33" t="s">
        <v>64</v>
      </c>
      <c r="E1" s="33" t="s">
        <v>65</v>
      </c>
      <c r="F1" s="33" t="s">
        <v>66</v>
      </c>
      <c r="G1" s="33" t="s">
        <v>67</v>
      </c>
      <c r="H1" s="33" t="s">
        <v>68</v>
      </c>
      <c r="I1" s="75" t="s">
        <v>201</v>
      </c>
      <c r="J1" s="54" t="s">
        <v>103</v>
      </c>
      <c r="K1" s="54" t="s">
        <v>104</v>
      </c>
    </row>
    <row r="2" spans="1:11">
      <c r="A2" s="223">
        <v>45721</v>
      </c>
      <c r="B2" s="224" t="s">
        <v>10</v>
      </c>
      <c r="C2" s="221">
        <v>250</v>
      </c>
      <c r="D2" s="221">
        <v>9</v>
      </c>
      <c r="E2" s="56" t="s">
        <v>111</v>
      </c>
      <c r="F2" s="57" t="s">
        <v>112</v>
      </c>
      <c r="G2" s="56" t="s">
        <v>115</v>
      </c>
      <c r="H2" s="58">
        <v>2</v>
      </c>
      <c r="I2" s="56" t="s">
        <v>116</v>
      </c>
      <c r="J2" s="56" t="s">
        <v>117</v>
      </c>
      <c r="K2" s="219" t="s">
        <v>118</v>
      </c>
    </row>
    <row r="3" spans="1:11">
      <c r="A3" s="223"/>
      <c r="B3" s="224"/>
      <c r="C3" s="221"/>
      <c r="D3" s="221"/>
      <c r="E3" s="56" t="s">
        <v>113</v>
      </c>
      <c r="F3" s="57" t="s">
        <v>114</v>
      </c>
      <c r="G3" s="56" t="s">
        <v>119</v>
      </c>
      <c r="H3" s="58">
        <v>1</v>
      </c>
      <c r="I3" s="71" t="s">
        <v>259</v>
      </c>
      <c r="J3" s="56" t="s">
        <v>120</v>
      </c>
      <c r="K3" s="220"/>
    </row>
    <row r="4" spans="1:11">
      <c r="A4" s="223"/>
      <c r="B4" s="224"/>
      <c r="C4" s="221"/>
      <c r="D4" s="221"/>
      <c r="E4" s="56" t="s">
        <v>105</v>
      </c>
      <c r="F4" s="57" t="s">
        <v>98</v>
      </c>
      <c r="G4" s="56" t="s">
        <v>121</v>
      </c>
      <c r="H4" s="58">
        <v>1</v>
      </c>
      <c r="I4" s="56" t="s">
        <v>122</v>
      </c>
      <c r="J4" s="56" t="s">
        <v>123</v>
      </c>
      <c r="K4" s="220"/>
    </row>
    <row r="5" spans="1:11" ht="75" customHeight="1">
      <c r="A5" s="223"/>
      <c r="B5" s="224"/>
      <c r="C5" s="221"/>
      <c r="D5" s="221"/>
      <c r="E5" s="56" t="s">
        <v>124</v>
      </c>
      <c r="F5" s="57" t="s">
        <v>75</v>
      </c>
      <c r="G5" s="57" t="s">
        <v>125</v>
      </c>
      <c r="H5" s="58">
        <v>8</v>
      </c>
      <c r="I5" s="57" t="s">
        <v>126</v>
      </c>
      <c r="J5" s="56"/>
      <c r="K5" s="220"/>
    </row>
    <row r="6" spans="1:11" ht="75" customHeight="1">
      <c r="A6" s="223"/>
      <c r="B6" s="224"/>
      <c r="C6" s="221"/>
      <c r="D6" s="221"/>
      <c r="E6" s="56" t="s">
        <v>79</v>
      </c>
      <c r="F6" s="57" t="s">
        <v>80</v>
      </c>
      <c r="G6" s="57" t="s">
        <v>127</v>
      </c>
      <c r="H6" s="58">
        <v>9</v>
      </c>
      <c r="I6" s="57" t="s">
        <v>128</v>
      </c>
      <c r="J6" s="57" t="s">
        <v>129</v>
      </c>
      <c r="K6" s="220"/>
    </row>
    <row r="7" spans="1:11" ht="60" customHeight="1">
      <c r="A7" s="223"/>
      <c r="B7" s="224"/>
      <c r="C7" s="221"/>
      <c r="D7" s="221"/>
      <c r="E7" s="56" t="s">
        <v>77</v>
      </c>
      <c r="F7" s="57" t="s">
        <v>78</v>
      </c>
      <c r="G7" s="57" t="s">
        <v>130</v>
      </c>
      <c r="H7" s="58">
        <v>6</v>
      </c>
      <c r="I7" s="57" t="s">
        <v>131</v>
      </c>
      <c r="J7" s="56"/>
      <c r="K7" s="220"/>
    </row>
    <row r="8" spans="1:11" ht="45" customHeight="1">
      <c r="A8" s="223"/>
      <c r="B8" s="224"/>
      <c r="C8" s="221"/>
      <c r="D8" s="221"/>
      <c r="E8" s="56" t="s">
        <v>106</v>
      </c>
      <c r="F8" s="57" t="s">
        <v>83</v>
      </c>
      <c r="G8" s="57" t="s">
        <v>132</v>
      </c>
      <c r="H8" s="58">
        <v>3</v>
      </c>
      <c r="I8" s="57" t="s">
        <v>133</v>
      </c>
      <c r="J8" s="56"/>
      <c r="K8" s="220"/>
    </row>
    <row r="9" spans="1:11">
      <c r="A9" s="222" t="s">
        <v>200</v>
      </c>
      <c r="B9" s="222" t="s">
        <v>11</v>
      </c>
      <c r="C9" s="222">
        <v>100</v>
      </c>
      <c r="D9" s="222">
        <v>1</v>
      </c>
      <c r="E9" s="71" t="s">
        <v>79</v>
      </c>
      <c r="F9" s="76" t="s">
        <v>80</v>
      </c>
      <c r="G9" s="70" t="s">
        <v>192</v>
      </c>
      <c r="H9" s="46">
        <v>1</v>
      </c>
      <c r="I9" s="77" t="s">
        <v>193</v>
      </c>
      <c r="J9" s="78" t="s">
        <v>194</v>
      </c>
      <c r="K9" s="219" t="s">
        <v>195</v>
      </c>
    </row>
    <row r="10" spans="1:11">
      <c r="A10" s="222"/>
      <c r="B10" s="222"/>
      <c r="C10" s="222"/>
      <c r="D10" s="222"/>
      <c r="E10" s="71" t="s">
        <v>77</v>
      </c>
      <c r="F10" s="71" t="s">
        <v>78</v>
      </c>
      <c r="G10" s="71" t="s">
        <v>196</v>
      </c>
      <c r="H10" s="46">
        <v>1</v>
      </c>
      <c r="I10" s="77" t="s">
        <v>197</v>
      </c>
      <c r="J10" s="78"/>
      <c r="K10" s="219"/>
    </row>
    <row r="11" spans="1:11">
      <c r="A11" s="222"/>
      <c r="B11" s="222"/>
      <c r="C11" s="222"/>
      <c r="D11" s="222"/>
      <c r="E11" s="71" t="s">
        <v>106</v>
      </c>
      <c r="F11" s="71" t="s">
        <v>83</v>
      </c>
      <c r="G11" s="71" t="s">
        <v>198</v>
      </c>
      <c r="H11" s="46">
        <v>1</v>
      </c>
      <c r="I11" s="77" t="s">
        <v>199</v>
      </c>
      <c r="J11" s="78"/>
      <c r="K11" s="219"/>
    </row>
    <row r="12" spans="1:11">
      <c r="G12" s="35"/>
    </row>
    <row r="13" spans="1:11">
      <c r="G13" s="35"/>
    </row>
    <row r="14" spans="1:11">
      <c r="G14" s="35"/>
    </row>
  </sheetData>
  <autoFilter ref="A1:H1" xr:uid="{00000000-0001-0000-0300-000000000000}"/>
  <mergeCells count="10">
    <mergeCell ref="A2:A8"/>
    <mergeCell ref="B2:B8"/>
    <mergeCell ref="D9:D11"/>
    <mergeCell ref="A9:A11"/>
    <mergeCell ref="B9:B11"/>
    <mergeCell ref="K2:K8"/>
    <mergeCell ref="D2:D8"/>
    <mergeCell ref="C2:C8"/>
    <mergeCell ref="C9:C11"/>
    <mergeCell ref="K9:K11"/>
  </mergeCells>
  <hyperlinks>
    <hyperlink ref="K2" r:id="rId1" xr:uid="{9148FD15-4A5F-470E-8A47-0084ECC688AD}"/>
    <hyperlink ref="K9:K11" r:id="rId2" display="https://drive.google.com/drive/folders/11SzOXtiEJ6XUg1wt5mj9UKHBoKGAdWAo" xr:uid="{754911F7-3F9F-457D-B819-382BED01C58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>
      <selection activeCell="G9" sqref="G9"/>
    </sheetView>
  </sheetViews>
  <sheetFormatPr defaultColWidth="103.42578125" defaultRowHeight="15"/>
  <cols>
    <col min="1" max="1" width="11.5703125" style="35" bestFit="1" customWidth="1"/>
    <col min="2" max="2" width="13.7109375" style="34" bestFit="1" customWidth="1"/>
    <col min="3" max="3" width="12.7109375" style="35" bestFit="1" customWidth="1"/>
    <col min="4" max="4" width="15.140625" style="35" bestFit="1" customWidth="1"/>
    <col min="5" max="5" width="12" style="50" bestFit="1" customWidth="1"/>
    <col min="6" max="6" width="44" style="34" bestFit="1" customWidth="1"/>
    <col min="7" max="7" width="27" style="35" bestFit="1" customWidth="1"/>
    <col min="8" max="8" width="7.140625" style="35" bestFit="1" customWidth="1"/>
    <col min="9" max="9" width="17" style="35" bestFit="1" customWidth="1"/>
    <col min="10" max="10" width="34.85546875" style="35" customWidth="1"/>
    <col min="11" max="16384" width="103.42578125" style="35"/>
  </cols>
  <sheetData>
    <row r="1" spans="1:10" ht="45">
      <c r="A1" s="33" t="s">
        <v>2</v>
      </c>
      <c r="B1" s="33" t="s">
        <v>1</v>
      </c>
      <c r="C1" s="33" t="s">
        <v>3</v>
      </c>
      <c r="D1" s="33" t="s">
        <v>64</v>
      </c>
      <c r="E1" s="33" t="s">
        <v>65</v>
      </c>
      <c r="F1" s="33" t="s">
        <v>66</v>
      </c>
      <c r="G1" s="75" t="s">
        <v>214</v>
      </c>
      <c r="H1" s="60" t="s">
        <v>68</v>
      </c>
      <c r="I1" s="54" t="s">
        <v>103</v>
      </c>
      <c r="J1" s="55" t="s">
        <v>134</v>
      </c>
    </row>
    <row r="2" spans="1:10" ht="75" customHeight="1">
      <c r="A2" s="225">
        <v>45741</v>
      </c>
      <c r="B2" s="222" t="s">
        <v>23</v>
      </c>
      <c r="C2" s="222">
        <v>250</v>
      </c>
      <c r="D2" s="222">
        <v>6</v>
      </c>
      <c r="E2" s="71" t="s">
        <v>76</v>
      </c>
      <c r="F2" s="71" t="s">
        <v>83</v>
      </c>
      <c r="G2" s="68" t="s">
        <v>137</v>
      </c>
      <c r="H2" s="69">
        <v>1</v>
      </c>
      <c r="I2" s="70"/>
      <c r="J2" s="226" t="s">
        <v>138</v>
      </c>
    </row>
    <row r="3" spans="1:10" ht="30" customHeight="1">
      <c r="A3" s="225"/>
      <c r="B3" s="222"/>
      <c r="C3" s="222"/>
      <c r="D3" s="222"/>
      <c r="E3" s="71" t="s">
        <v>77</v>
      </c>
      <c r="F3" s="71" t="s">
        <v>78</v>
      </c>
      <c r="G3" s="68" t="s">
        <v>139</v>
      </c>
      <c r="H3" s="69">
        <v>5</v>
      </c>
      <c r="I3" s="70"/>
      <c r="J3" s="226"/>
    </row>
    <row r="4" spans="1:10" ht="30" customHeight="1">
      <c r="A4" s="225"/>
      <c r="B4" s="222"/>
      <c r="C4" s="222"/>
      <c r="D4" s="222"/>
      <c r="E4" s="71" t="s">
        <v>79</v>
      </c>
      <c r="F4" s="71" t="s">
        <v>80</v>
      </c>
      <c r="G4" s="68" t="s">
        <v>140</v>
      </c>
      <c r="H4" s="69">
        <v>1</v>
      </c>
      <c r="I4" s="70" t="s">
        <v>141</v>
      </c>
      <c r="J4" s="226"/>
    </row>
    <row r="5" spans="1:10" ht="45" customHeight="1">
      <c r="A5" s="225"/>
      <c r="B5" s="222"/>
      <c r="C5" s="222"/>
      <c r="D5" s="222"/>
      <c r="E5" s="71" t="s">
        <v>110</v>
      </c>
      <c r="F5" s="71" t="s">
        <v>107</v>
      </c>
      <c r="G5" s="68" t="s">
        <v>142</v>
      </c>
      <c r="H5" s="69">
        <v>5</v>
      </c>
      <c r="I5" s="70"/>
      <c r="J5" s="226"/>
    </row>
    <row r="6" spans="1:10" ht="60" customHeight="1">
      <c r="A6" s="225"/>
      <c r="B6" s="222"/>
      <c r="C6" s="222"/>
      <c r="D6" s="222"/>
      <c r="E6" s="71" t="s">
        <v>135</v>
      </c>
      <c r="F6" s="71" t="s">
        <v>136</v>
      </c>
      <c r="G6" s="68" t="s">
        <v>143</v>
      </c>
      <c r="H6" s="69">
        <v>6</v>
      </c>
      <c r="I6" s="70"/>
      <c r="J6" s="226"/>
    </row>
    <row r="7" spans="1:10">
      <c r="A7" s="225"/>
      <c r="B7" s="222"/>
      <c r="C7" s="222"/>
      <c r="D7" s="222"/>
      <c r="E7" s="71" t="s">
        <v>95</v>
      </c>
      <c r="F7" s="71" t="s">
        <v>144</v>
      </c>
      <c r="G7" s="68" t="s">
        <v>145</v>
      </c>
      <c r="H7" s="69">
        <v>1</v>
      </c>
      <c r="I7" s="70" t="s">
        <v>146</v>
      </c>
      <c r="J7" s="226"/>
    </row>
    <row r="8" spans="1:10">
      <c r="A8" s="225"/>
      <c r="B8" s="222"/>
      <c r="C8" s="222"/>
      <c r="D8" s="222"/>
      <c r="E8" s="7" t="s">
        <v>108</v>
      </c>
      <c r="F8" s="7" t="s">
        <v>109</v>
      </c>
      <c r="G8" s="68" t="s">
        <v>260</v>
      </c>
      <c r="H8" s="69">
        <v>1</v>
      </c>
      <c r="I8" s="4" t="s">
        <v>147</v>
      </c>
      <c r="J8" s="226"/>
    </row>
  </sheetData>
  <mergeCells count="5">
    <mergeCell ref="C2:C8"/>
    <mergeCell ref="D2:D8"/>
    <mergeCell ref="A2:A8"/>
    <mergeCell ref="B2:B8"/>
    <mergeCell ref="J2:J8"/>
  </mergeCells>
  <hyperlinks>
    <hyperlink ref="J2" r:id="rId1" xr:uid="{11FBADBD-662A-4D7E-A545-911FE8F01F31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>
      <selection activeCell="I7" sqref="I7"/>
    </sheetView>
  </sheetViews>
  <sheetFormatPr defaultColWidth="9.140625" defaultRowHeight="15"/>
  <cols>
    <col min="1" max="1" width="10.42578125" style="13" bestFit="1" customWidth="1"/>
    <col min="2" max="2" width="12.140625" style="13" bestFit="1" customWidth="1"/>
    <col min="3" max="3" width="9.42578125" style="13" bestFit="1" customWidth="1"/>
    <col min="4" max="4" width="23" style="13" bestFit="1" customWidth="1"/>
    <col min="5" max="5" width="10" style="13" bestFit="1" customWidth="1"/>
    <col min="6" max="6" width="29.85546875" style="2" bestFit="1" customWidth="1"/>
    <col min="7" max="7" width="31.28515625" style="13" bestFit="1" customWidth="1"/>
    <col min="8" max="8" width="7.140625" style="30" bestFit="1" customWidth="1"/>
    <col min="9" max="9" width="29.7109375" style="30" bestFit="1" customWidth="1"/>
    <col min="10" max="10" width="29.85546875" style="30" bestFit="1" customWidth="1"/>
    <col min="11" max="11" width="31.28515625" style="13" bestFit="1" customWidth="1"/>
    <col min="12" max="12" width="30" style="13" customWidth="1"/>
    <col min="13" max="16384" width="9.140625" style="13"/>
  </cols>
  <sheetData>
    <row r="1" spans="1:12" ht="30">
      <c r="A1" s="20" t="s">
        <v>2</v>
      </c>
      <c r="B1" s="20" t="s">
        <v>148</v>
      </c>
      <c r="C1" s="20" t="s">
        <v>3</v>
      </c>
      <c r="D1" s="20" t="s">
        <v>64</v>
      </c>
      <c r="E1" s="20" t="s">
        <v>65</v>
      </c>
      <c r="F1" s="20" t="s">
        <v>149</v>
      </c>
      <c r="G1" s="20" t="s">
        <v>150</v>
      </c>
      <c r="H1" s="31" t="s">
        <v>151</v>
      </c>
      <c r="I1" s="75" t="s">
        <v>214</v>
      </c>
      <c r="J1" s="54" t="s">
        <v>103</v>
      </c>
      <c r="K1" s="31" t="s">
        <v>152</v>
      </c>
      <c r="L1" s="31" t="s">
        <v>70</v>
      </c>
    </row>
    <row r="2" spans="1:12" ht="120">
      <c r="A2" s="229">
        <v>45713</v>
      </c>
      <c r="B2" s="232" t="s">
        <v>20</v>
      </c>
      <c r="C2" s="230">
        <v>100</v>
      </c>
      <c r="D2" s="231">
        <v>15</v>
      </c>
      <c r="E2" s="7">
        <v>60.000548000000002</v>
      </c>
      <c r="F2" s="6" t="s">
        <v>80</v>
      </c>
      <c r="G2" s="6" t="s">
        <v>153</v>
      </c>
      <c r="H2" s="5">
        <v>15</v>
      </c>
      <c r="I2" s="51" t="s">
        <v>154</v>
      </c>
      <c r="J2" s="51" t="s">
        <v>155</v>
      </c>
      <c r="K2" s="219" t="s">
        <v>156</v>
      </c>
      <c r="L2" s="227" t="s">
        <v>86</v>
      </c>
    </row>
    <row r="3" spans="1:12" ht="30">
      <c r="A3" s="229"/>
      <c r="B3" s="232"/>
      <c r="C3" s="230"/>
      <c r="D3" s="231"/>
      <c r="E3" s="7">
        <v>60.000537999999999</v>
      </c>
      <c r="F3" s="6" t="s">
        <v>157</v>
      </c>
      <c r="G3" s="6" t="s">
        <v>158</v>
      </c>
      <c r="H3" s="5">
        <v>4</v>
      </c>
      <c r="I3" s="53" t="s">
        <v>159</v>
      </c>
      <c r="J3" s="53"/>
      <c r="K3" s="228"/>
      <c r="L3" s="227"/>
    </row>
    <row r="4" spans="1:12" ht="30">
      <c r="A4" s="229"/>
      <c r="B4" s="232"/>
      <c r="C4" s="230"/>
      <c r="D4" s="231"/>
      <c r="E4" s="7">
        <v>60.000534000000002</v>
      </c>
      <c r="F4" s="6" t="s">
        <v>160</v>
      </c>
      <c r="G4" s="7" t="s">
        <v>161</v>
      </c>
      <c r="H4" s="5">
        <v>1</v>
      </c>
      <c r="I4" s="51" t="s">
        <v>162</v>
      </c>
      <c r="J4" s="52" t="s">
        <v>163</v>
      </c>
      <c r="K4" s="228"/>
      <c r="L4" s="227"/>
    </row>
    <row r="5" spans="1:12">
      <c r="A5" s="229"/>
      <c r="B5" s="232"/>
      <c r="C5" s="230"/>
      <c r="D5" s="231"/>
      <c r="E5" s="7">
        <v>60.000546999999997</v>
      </c>
      <c r="F5" s="6" t="s">
        <v>164</v>
      </c>
      <c r="G5" s="7" t="s">
        <v>165</v>
      </c>
      <c r="H5" s="5">
        <v>3</v>
      </c>
      <c r="I5" s="51" t="s">
        <v>166</v>
      </c>
      <c r="J5" s="51"/>
      <c r="K5" s="228"/>
      <c r="L5" s="227"/>
    </row>
    <row r="6" spans="1:12" ht="30">
      <c r="A6" s="229"/>
      <c r="B6" s="232"/>
      <c r="C6" s="230"/>
      <c r="D6" s="231"/>
      <c r="E6" s="7">
        <v>60.000548999999999</v>
      </c>
      <c r="F6" s="6" t="s">
        <v>167</v>
      </c>
      <c r="G6" s="6" t="s">
        <v>168</v>
      </c>
      <c r="H6" s="5">
        <v>3</v>
      </c>
      <c r="I6" s="53" t="s">
        <v>169</v>
      </c>
      <c r="J6" s="51" t="s">
        <v>170</v>
      </c>
      <c r="K6" s="228"/>
      <c r="L6" s="227"/>
    </row>
  </sheetData>
  <mergeCells count="6">
    <mergeCell ref="L2:L6"/>
    <mergeCell ref="K2:K6"/>
    <mergeCell ref="A2:A6"/>
    <mergeCell ref="C2:C6"/>
    <mergeCell ref="D2:D6"/>
    <mergeCell ref="B2:B6"/>
  </mergeCells>
  <hyperlinks>
    <hyperlink ref="K2" r:id="rId1" xr:uid="{52F29D4F-2D98-45F2-9635-3682C420B86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topLeftCell="G1" workbookViewId="0">
      <selection activeCell="K11" sqref="K11"/>
    </sheetView>
  </sheetViews>
  <sheetFormatPr defaultColWidth="88.140625" defaultRowHeight="15"/>
  <cols>
    <col min="1" max="1" width="10.42578125" style="13" bestFit="1" customWidth="1"/>
    <col min="2" max="2" width="14.85546875" style="13" bestFit="1" customWidth="1"/>
    <col min="3" max="3" width="9.42578125" style="13" bestFit="1" customWidth="1"/>
    <col min="4" max="4" width="20.140625" style="13" bestFit="1" customWidth="1"/>
    <col min="5" max="5" width="11.28515625" style="30" bestFit="1" customWidth="1"/>
    <col min="6" max="6" width="29.85546875" style="2" bestFit="1" customWidth="1"/>
    <col min="7" max="7" width="58.7109375" style="2" bestFit="1" customWidth="1"/>
    <col min="8" max="8" width="31.85546875" style="13" bestFit="1" customWidth="1"/>
    <col min="9" max="9" width="31.28515625" style="2" bestFit="1" customWidth="1"/>
    <col min="10" max="10" width="34.42578125" style="13" customWidth="1"/>
    <col min="11" max="16384" width="88.140625" style="13"/>
  </cols>
  <sheetData>
    <row r="1" spans="1:10" ht="30">
      <c r="A1" s="20" t="s">
        <v>2</v>
      </c>
      <c r="B1" s="19" t="s">
        <v>1</v>
      </c>
      <c r="C1" s="20" t="s">
        <v>3</v>
      </c>
      <c r="D1" s="20" t="s">
        <v>64</v>
      </c>
      <c r="E1" s="31" t="s">
        <v>65</v>
      </c>
      <c r="F1" s="20" t="s">
        <v>66</v>
      </c>
      <c r="G1" s="20" t="s">
        <v>150</v>
      </c>
      <c r="H1" s="75" t="s">
        <v>214</v>
      </c>
      <c r="I1" s="74" t="s">
        <v>103</v>
      </c>
      <c r="J1" s="87" t="s">
        <v>204</v>
      </c>
    </row>
    <row r="2" spans="1:10" ht="30">
      <c r="A2" s="238" t="s">
        <v>12</v>
      </c>
      <c r="B2" s="233" t="s">
        <v>22</v>
      </c>
      <c r="C2" s="235">
        <v>50</v>
      </c>
      <c r="D2" s="235">
        <v>5</v>
      </c>
      <c r="E2" s="71">
        <v>60.000548999999999</v>
      </c>
      <c r="F2" s="51" t="s">
        <v>167</v>
      </c>
      <c r="G2" s="7" t="s">
        <v>205</v>
      </c>
      <c r="H2" s="7" t="s">
        <v>206</v>
      </c>
      <c r="I2" s="88" t="s">
        <v>207</v>
      </c>
      <c r="J2" s="237" t="s">
        <v>208</v>
      </c>
    </row>
    <row r="3" spans="1:10" ht="75">
      <c r="A3" s="239"/>
      <c r="B3" s="234"/>
      <c r="C3" s="236"/>
      <c r="D3" s="236"/>
      <c r="E3" s="7">
        <v>60.000548000000002</v>
      </c>
      <c r="F3" s="7" t="s">
        <v>80</v>
      </c>
      <c r="G3" s="6" t="s">
        <v>209</v>
      </c>
      <c r="H3" s="6" t="s">
        <v>210</v>
      </c>
      <c r="I3" s="89" t="s">
        <v>211</v>
      </c>
      <c r="J3" s="237"/>
    </row>
  </sheetData>
  <mergeCells count="5">
    <mergeCell ref="B2:B3"/>
    <mergeCell ref="C2:C3"/>
    <mergeCell ref="J2:J3"/>
    <mergeCell ref="D2:D3"/>
    <mergeCell ref="A2:A3"/>
  </mergeCells>
  <hyperlinks>
    <hyperlink ref="J2:J3" r:id="rId1" display="https://drive.google.com/drive/folders/11m6kFc9kumNk1fr2tEAFELfp1RHi9_H2" xr:uid="{E0CA6285-EC83-41ED-9AFC-681CB0FEDBE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selection activeCell="G13" sqref="G13"/>
    </sheetView>
  </sheetViews>
  <sheetFormatPr defaultColWidth="111.28515625" defaultRowHeight="15"/>
  <cols>
    <col min="1" max="1" width="10.85546875" style="2" bestFit="1" customWidth="1"/>
    <col min="2" max="2" width="14.85546875" style="2" bestFit="1" customWidth="1"/>
    <col min="3" max="3" width="9.42578125" style="13" bestFit="1" customWidth="1"/>
    <col min="4" max="4" width="23" style="13" bestFit="1" customWidth="1"/>
    <col min="5" max="5" width="17.5703125" style="13" bestFit="1" customWidth="1"/>
    <col min="6" max="6" width="14.5703125" style="13" bestFit="1" customWidth="1"/>
    <col min="7" max="7" width="43.7109375" style="13" bestFit="1" customWidth="1"/>
    <col min="8" max="8" width="7.140625" style="13" bestFit="1" customWidth="1"/>
    <col min="9" max="16384" width="111.28515625" style="13"/>
  </cols>
  <sheetData>
    <row r="1" spans="1:8" ht="30">
      <c r="A1" s="20" t="s">
        <v>2</v>
      </c>
      <c r="B1" s="20" t="s">
        <v>1</v>
      </c>
      <c r="C1" s="20" t="s">
        <v>3</v>
      </c>
      <c r="D1" s="20" t="s">
        <v>64</v>
      </c>
      <c r="E1" s="20" t="s">
        <v>65</v>
      </c>
      <c r="F1" s="20" t="s">
        <v>66</v>
      </c>
      <c r="G1" s="75" t="s">
        <v>214</v>
      </c>
      <c r="H1" s="20" t="s">
        <v>68</v>
      </c>
    </row>
    <row r="2" spans="1:8" ht="60">
      <c r="A2" s="79" t="s">
        <v>171</v>
      </c>
      <c r="B2" s="80" t="s">
        <v>17</v>
      </c>
      <c r="C2" s="81">
        <v>500</v>
      </c>
      <c r="D2" s="81">
        <v>85</v>
      </c>
      <c r="E2" s="4" t="s">
        <v>172</v>
      </c>
      <c r="F2" s="4" t="s">
        <v>173</v>
      </c>
      <c r="G2" s="3" t="s">
        <v>202</v>
      </c>
      <c r="H2" s="81">
        <v>85</v>
      </c>
    </row>
    <row r="3" spans="1:8">
      <c r="A3" s="82">
        <v>45591</v>
      </c>
      <c r="B3" s="83" t="s">
        <v>15</v>
      </c>
      <c r="C3" s="81">
        <v>50</v>
      </c>
      <c r="D3" s="81">
        <v>28</v>
      </c>
      <c r="E3" s="4" t="s">
        <v>172</v>
      </c>
      <c r="F3" s="4" t="s">
        <v>173</v>
      </c>
      <c r="G3" s="4" t="s">
        <v>174</v>
      </c>
      <c r="H3" s="81">
        <v>28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selection activeCell="C8" sqref="C8"/>
    </sheetView>
  </sheetViews>
  <sheetFormatPr defaultColWidth="64.42578125" defaultRowHeight="15"/>
  <cols>
    <col min="1" max="1" width="16.5703125" style="35" bestFit="1" customWidth="1"/>
    <col min="2" max="2" width="17.5703125" style="35" bestFit="1" customWidth="1"/>
    <col min="3" max="3" width="27.42578125" style="35" bestFit="1" customWidth="1"/>
    <col min="4" max="4" width="44.5703125" style="34" customWidth="1"/>
    <col min="5" max="5" width="8.7109375" style="37" bestFit="1" customWidth="1"/>
    <col min="6" max="6" width="29.7109375" style="34" bestFit="1" customWidth="1"/>
    <col min="7" max="7" width="44" style="35" bestFit="1" customWidth="1"/>
    <col min="8" max="16384" width="64.42578125" style="35"/>
  </cols>
  <sheetData>
    <row r="1" spans="1:7">
      <c r="A1" s="84" t="s">
        <v>0</v>
      </c>
      <c r="B1" s="84" t="s">
        <v>175</v>
      </c>
      <c r="C1" s="84" t="s">
        <v>67</v>
      </c>
      <c r="D1" s="85" t="s">
        <v>176</v>
      </c>
      <c r="E1" s="86" t="s">
        <v>177</v>
      </c>
      <c r="F1" s="85" t="s">
        <v>178</v>
      </c>
      <c r="G1" s="85" t="s">
        <v>70</v>
      </c>
    </row>
    <row r="2" spans="1:7">
      <c r="A2" s="48" t="s">
        <v>179</v>
      </c>
      <c r="B2" s="47">
        <v>50.000328000000003</v>
      </c>
      <c r="C2" s="49" t="s">
        <v>181</v>
      </c>
      <c r="D2" s="48" t="s">
        <v>182</v>
      </c>
      <c r="E2" s="36">
        <v>4</v>
      </c>
      <c r="F2" s="48" t="s">
        <v>180</v>
      </c>
      <c r="G2" s="105" t="s">
        <v>224</v>
      </c>
    </row>
    <row r="3" spans="1:7">
      <c r="A3" s="32" t="s">
        <v>184</v>
      </c>
      <c r="B3" s="49">
        <v>60.000402999999999</v>
      </c>
      <c r="C3" s="49" t="s">
        <v>185</v>
      </c>
      <c r="D3" s="48" t="s">
        <v>186</v>
      </c>
      <c r="E3" s="36">
        <v>1</v>
      </c>
      <c r="F3" s="48" t="s">
        <v>183</v>
      </c>
      <c r="G3" s="105" t="s">
        <v>187</v>
      </c>
    </row>
    <row r="4" spans="1:7">
      <c r="A4" s="32" t="s">
        <v>188</v>
      </c>
      <c r="B4" s="49">
        <v>50.000328000000003</v>
      </c>
      <c r="C4" s="32" t="s">
        <v>72</v>
      </c>
      <c r="D4" s="48" t="s">
        <v>189</v>
      </c>
      <c r="E4" s="36">
        <v>5</v>
      </c>
      <c r="F4" s="48" t="s">
        <v>183</v>
      </c>
      <c r="G4" s="105" t="s">
        <v>224</v>
      </c>
    </row>
    <row r="5" spans="1:7" ht="30">
      <c r="A5" s="32" t="s">
        <v>188</v>
      </c>
      <c r="B5" s="49" t="s">
        <v>111</v>
      </c>
      <c r="C5" s="48" t="s">
        <v>112</v>
      </c>
      <c r="D5" s="48" t="s">
        <v>190</v>
      </c>
      <c r="E5" s="36">
        <v>1</v>
      </c>
      <c r="F5" s="48" t="s">
        <v>183</v>
      </c>
      <c r="G5" s="105" t="s">
        <v>191</v>
      </c>
    </row>
    <row r="6" spans="1:7">
      <c r="A6" s="32" t="s">
        <v>215</v>
      </c>
      <c r="B6" s="47" t="s">
        <v>172</v>
      </c>
      <c r="C6" s="32" t="s">
        <v>173</v>
      </c>
      <c r="D6" s="48" t="s">
        <v>216</v>
      </c>
      <c r="E6" s="36">
        <v>6</v>
      </c>
      <c r="F6" s="48" t="s">
        <v>183</v>
      </c>
      <c r="G6" s="106" t="s">
        <v>225</v>
      </c>
    </row>
    <row r="7" spans="1:7">
      <c r="A7" s="32" t="s">
        <v>215</v>
      </c>
      <c r="B7" s="47" t="s">
        <v>172</v>
      </c>
      <c r="C7" s="32" t="s">
        <v>173</v>
      </c>
      <c r="D7" s="48" t="s">
        <v>216</v>
      </c>
      <c r="E7" s="36">
        <v>7</v>
      </c>
      <c r="F7" s="48" t="s">
        <v>217</v>
      </c>
      <c r="G7" s="106" t="s">
        <v>225</v>
      </c>
    </row>
    <row r="8" spans="1:7" s="104" customFormat="1" ht="30">
      <c r="A8" s="48" t="s">
        <v>221</v>
      </c>
      <c r="B8" s="48" t="s">
        <v>218</v>
      </c>
      <c r="C8" s="48" t="s">
        <v>219</v>
      </c>
      <c r="D8" s="48" t="s">
        <v>220</v>
      </c>
      <c r="E8" s="103">
        <v>3</v>
      </c>
      <c r="F8" s="48" t="s">
        <v>222</v>
      </c>
      <c r="G8" s="105" t="s">
        <v>223</v>
      </c>
    </row>
  </sheetData>
  <autoFilter ref="A1:G5" xr:uid="{00000000-0001-0000-09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of SKD Kits Pendings </vt:lpstr>
      <vt:lpstr>PIVOT</vt:lpstr>
      <vt:lpstr>Summary Spares pendings</vt:lpstr>
      <vt:lpstr>TS-III overall Report </vt:lpstr>
      <vt:lpstr>TS-III Basic SKD Issues</vt:lpstr>
      <vt:lpstr>TS-III Analog SKD issues</vt:lpstr>
      <vt:lpstr>TS-III Nellcor SKD issues</vt:lpstr>
      <vt:lpstr>Q5 Digital SKD issues</vt:lpstr>
      <vt:lpstr>Q5 Nellcor SKD issues</vt:lpstr>
      <vt:lpstr>M10 SKD issues</vt:lpstr>
      <vt:lpstr>Replacement Rejection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V. Ananda Gurunathan</dc:creator>
  <cp:keywords/>
  <dc:description/>
  <cp:lastModifiedBy>J. Senthil Kumar</cp:lastModifiedBy>
  <cp:revision/>
  <dcterms:created xsi:type="dcterms:W3CDTF">2025-01-27T09:02:52Z</dcterms:created>
  <dcterms:modified xsi:type="dcterms:W3CDTF">2025-05-14T05:34:50Z</dcterms:modified>
  <cp:category/>
  <cp:contentStatus/>
</cp:coreProperties>
</file>