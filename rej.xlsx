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BLT SKD kits transaction\Consolidated failures\"/>
    </mc:Choice>
  </mc:AlternateContent>
  <xr:revisionPtr revIDLastSave="0" documentId="13_ncr:1_{13856A9C-7AF6-416F-8F93-EC364F038C99}" xr6:coauthVersionLast="47" xr6:coauthVersionMax="47" xr10:uidLastSave="{00000000-0000-0000-0000-000000000000}"/>
  <bookViews>
    <workbookView xWindow="-120" yWindow="-120" windowWidth="20730" windowHeight="11040" tabRatio="786" activeTab="4" xr2:uid="{00000000-000D-0000-FFFF-FFFF00000000}"/>
  </bookViews>
  <sheets>
    <sheet name="Summary of SKD Kits Pendings " sheetId="5" r:id="rId1"/>
    <sheet name="TS-III overall Report " sheetId="2" state="hidden" r:id="rId2"/>
    <sheet name="TS-III Basic SKD Issues" sheetId="4" r:id="rId3"/>
    <sheet name="TS-III Analog SKD issues" sheetId="8" r:id="rId4"/>
    <sheet name="TS-III Nellcor SKD issues" sheetId="9" r:id="rId5"/>
    <sheet name="TS-III Masimo SKD issues" sheetId="10" r:id="rId6"/>
    <sheet name="Q5 Digital SKD issues" sheetId="6" r:id="rId7"/>
    <sheet name="Q5 Nellcor SKD issues" sheetId="7" r:id="rId8"/>
    <sheet name="M10 SKD issues" sheetId="11" r:id="rId9"/>
    <sheet name="Replacement Rejection" sheetId="12" r:id="rId10"/>
  </sheets>
  <definedNames>
    <definedName name="_xlnm._FilterDatabase" localSheetId="9" hidden="1">'Replacement Rejection'!$A$1:$G$28</definedName>
    <definedName name="_xlnm._FilterDatabase" localSheetId="0" hidden="1">'Summary of SKD Kits Pendings '!$A$1:$G$18</definedName>
    <definedName name="_xlnm._FilterDatabase" localSheetId="3" hidden="1">'TS-III Analog SKD issues'!$A$1:$H$15</definedName>
    <definedName name="_xlnm._FilterDatabase" localSheetId="2" hidden="1">'TS-III Basic SKD Issues'!$A$1:$H$26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  <c r="D18" i="5"/>
  <c r="D17" i="2" l="1"/>
  <c r="D16" i="2"/>
  <c r="D15" i="2"/>
  <c r="D14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<sst xmlns="http://schemas.openxmlformats.org/spreadsheetml/2006/main" count="670" uniqueCount="386">
  <si>
    <t>Model</t>
  </si>
  <si>
    <t>BLT Invoice No.</t>
  </si>
  <si>
    <t>Received Qty</t>
  </si>
  <si>
    <t>Front cabinet(cabinet assembly)</t>
  </si>
  <si>
    <t>LCD assembly</t>
  </si>
  <si>
    <t>SMPS module</t>
  </si>
  <si>
    <t>Side Plate Assy(2-IBP 1-TEMP with BM20 Analog sp2)</t>
  </si>
  <si>
    <t>Digital BM-100A module with BM20 Analog sp2-TS III</t>
  </si>
  <si>
    <t xml:space="preserve">MB350 arm board assembly-TS III lite </t>
  </si>
  <si>
    <t>MB350 arm board assembly-TS III</t>
  </si>
  <si>
    <t>Arm board-Blank display-1</t>
  </si>
  <si>
    <t>Back cabinet(cabinet assembly)-TS III</t>
  </si>
  <si>
    <t>Side Plate Assembly(2-IBP; 2-TEMP,analog spo2)</t>
  </si>
  <si>
    <t>Side Plate Assembly(2-IBP; 2-TEMP,Nellcor)</t>
  </si>
  <si>
    <t>Main board without VGA &amp; 3 in 1 interface</t>
  </si>
  <si>
    <t>Side connector</t>
  </si>
  <si>
    <t>Back Cabinet with Battery</t>
  </si>
  <si>
    <t>Front cover assembly without touchscreen</t>
  </si>
  <si>
    <t>Speaker</t>
  </si>
  <si>
    <t>Truscope III- upgradable 
Qty-100 (Analog)</t>
  </si>
  <si>
    <t>24ZXS100901-3</t>
  </si>
  <si>
    <t xml:space="preserve">IF board </t>
  </si>
  <si>
    <t>MB350 arm board assembly-TS III lite</t>
  </si>
  <si>
    <t>DOUBLE CHANNELS SLOTS-NEW TYPE</t>
  </si>
  <si>
    <t>BACK CABINET</t>
  </si>
  <si>
    <t>Arm board assembly with power source</t>
  </si>
  <si>
    <t>Symbol reprinted-1 No., Cabinet mould finishing problem-1 No.</t>
  </si>
  <si>
    <t>Power source assembly frame with VGA-TS III</t>
  </si>
  <si>
    <t>Sticker scratches-7 Nos</t>
  </si>
  <si>
    <t>MB350 arm board assembly with VGA-TS III</t>
  </si>
  <si>
    <t>Not getting ON</t>
  </si>
  <si>
    <t>24ZXS111502-3</t>
  </si>
  <si>
    <t>CONNECTOR PANEL Nellcor Ready</t>
  </si>
  <si>
    <t>Rear connector</t>
  </si>
  <si>
    <t>Cabinet assembly</t>
  </si>
  <si>
    <t>Connector damaged-11nos</t>
  </si>
  <si>
    <t>Sticker scratches-3nos</t>
  </si>
  <si>
    <t>Connector damaged-7nos</t>
  </si>
  <si>
    <t>Deep scratch mark-4nos</t>
  </si>
  <si>
    <t>TS III -Nellcor  Qty-50 Nos</t>
  </si>
  <si>
    <t>24ZXS123101-3</t>
  </si>
  <si>
    <t>24ZXS123101-1</t>
  </si>
  <si>
    <t>Ultra Q5 
Received Qty-100 Nos</t>
  </si>
  <si>
    <t>Encoder damaged &amp; Silicon keypad peeloff-3nos, silicon keypad black dots &amp; Encoder damaged-4nos, Silicon keypad peeloff-1no., Cabinet black dot &amp; encoder damaged-1no.
Gap appear in top side - 1no's</t>
  </si>
  <si>
    <t>28-12-2024</t>
  </si>
  <si>
    <t xml:space="preserve">TS III - Masimo
Qty - 15 </t>
  </si>
  <si>
    <t>Side Plate Assembly(2-IBP; 2-TEMP,masimo)</t>
  </si>
  <si>
    <t>Masimo module problem(Spo2 wave form not coming) and also Sticker scratches-3nos</t>
  </si>
  <si>
    <t>Back Cabinet (Cabinet Assembly)</t>
  </si>
  <si>
    <t>Black dot - 2 No's</t>
  </si>
  <si>
    <t>24ZXS123101-2</t>
  </si>
  <si>
    <t>Masimo adult spo2 sensor</t>
  </si>
  <si>
    <t>Sensor LED not glowing and SpO2 waveform not coming</t>
  </si>
  <si>
    <t>Sticker Scratches - 21 nos</t>
  </si>
  <si>
    <t xml:space="preserve">Unit not swtching on </t>
  </si>
  <si>
    <t xml:space="preserve">1. Capacitor damage - 1No
2. Not switching ON - 1No
3. Connector damage( J-24,J-31, On/Off connector) - 3No's
4. USB port damaged(J-16) - 1No </t>
  </si>
  <si>
    <t>1. Scratch on back cabinet -3No's
2. Black dot -1No</t>
  </si>
  <si>
    <t>1. Black dot on front frame - 2No's
2. Insert missing - 2No's
3. ON/OFF silica keypad scratch - 1No</t>
  </si>
  <si>
    <t xml:space="preserve">Defective Qty in Production </t>
  </si>
  <si>
    <t>TS III -Nellcor Upgradable
Qty-200 Nos</t>
  </si>
  <si>
    <t>1. Red dots-2nos 
2. Blank display-1 no., Horizandal line-1 no.</t>
  </si>
  <si>
    <t>1. Sticker scratches-5nos, 
2. Battery lock damaged and also sticker scratches-2nos
3. Mains socket frame bend-1 no.</t>
  </si>
  <si>
    <t>Schiller Received Date</t>
  </si>
  <si>
    <t>TSIII- Baisc  Qty- 500</t>
  </si>
  <si>
    <t>24ZXS080101-1 &amp; 24ZXS080101-2</t>
  </si>
  <si>
    <t>24ZXS080102-1 &amp; 24ZXS080102-3</t>
  </si>
  <si>
    <t>TSIII - Upgradable Qty-50</t>
  </si>
  <si>
    <t>TSIII -Nellcor  Upgradable Qty-100</t>
  </si>
  <si>
    <t>24ZXS090302-1 &amp;  
24ZXS090302-3</t>
  </si>
  <si>
    <t>Truscope - M10 Qty-450 (435 + 15 VGA)</t>
  </si>
  <si>
    <t>24ZXS090301-2 &amp; 
24ZXS090301-1</t>
  </si>
  <si>
    <t>24-09-2024
10-10-2024</t>
  </si>
  <si>
    <t>24ZXS100901-1 &amp; 
24ZXS100901-3</t>
  </si>
  <si>
    <t>22-10-2024     
19-10-2024</t>
  </si>
  <si>
    <t>Truscope III- upgradable Qty-100 (Analog)</t>
  </si>
  <si>
    <t>Truscope III- upgradable  Qty-100 (Nellcor)</t>
  </si>
  <si>
    <t>Truscope - M10  Qty-50 Nos (with Touch)</t>
  </si>
  <si>
    <t>24ZXS101501-1 &amp; 
24ZXS101501-2</t>
  </si>
  <si>
    <t>24ZXS092401-1 &amp; 
24ZXS092401-3</t>
  </si>
  <si>
    <t xml:space="preserve">TSIII- Baisc Qty-500 (Non upgradable) </t>
  </si>
  <si>
    <t>Truscope Ultra Q5  Qty-50 Nos (Digital)</t>
  </si>
  <si>
    <t>24ZX102101-3 &amp; 
24ZX102101-1</t>
  </si>
  <si>
    <t>24ZXS110505-1 &amp; 
24ZXS110505-3</t>
  </si>
  <si>
    <t>24ZXS123001-3 &amp; 
24ZXS123001-1</t>
  </si>
  <si>
    <t>24ZXS123101-3 &amp; 24ZXS123101-1</t>
  </si>
  <si>
    <t>10-01-2025
18-01-2025</t>
  </si>
  <si>
    <t>24ZXS121903-1
24ZXS121903-3</t>
  </si>
  <si>
    <t xml:space="preserve">Truscope III Qty-500 (485 +15) with VGA
</t>
  </si>
  <si>
    <t>24ZXS112101-2
24ZXS112101-1</t>
  </si>
  <si>
    <t>Truscope M10 Qty - 500 (460+25+15)</t>
  </si>
  <si>
    <t>Problem QTY</t>
  </si>
  <si>
    <t>24ZXS121903</t>
  </si>
  <si>
    <t>Truscope M10</t>
  </si>
  <si>
    <t>Total</t>
  </si>
  <si>
    <t>Defective Item</t>
  </si>
  <si>
    <t>Description</t>
  </si>
  <si>
    <t>LCD Assembly</t>
  </si>
  <si>
    <t>Arm Board</t>
  </si>
  <si>
    <t>Back Cabinet</t>
  </si>
  <si>
    <t xml:space="preserve">Side key board </t>
  </si>
  <si>
    <t>Fan for ultra Q5</t>
  </si>
  <si>
    <t>Key board IF board</t>
  </si>
  <si>
    <t xml:space="preserve">ARM board </t>
  </si>
  <si>
    <t xml:space="preserve">Alarm LED PCB </t>
  </si>
  <si>
    <t>Vertical line - 1 No</t>
  </si>
  <si>
    <t>Fan Noise - 1 No</t>
  </si>
  <si>
    <t>Not getting on - 1 No</t>
  </si>
  <si>
    <t>Speaker function not working.  - 1 No</t>
  </si>
  <si>
    <t>Oranage &amp; green LED glowing together  - 1 No</t>
  </si>
  <si>
    <t>Key function not working properly  - 1 No</t>
  </si>
  <si>
    <t>1. Arm board-IC burnt, I/O board-Not getting ON-1 No.
2. Arm board-Display Hang, I/O board-Battery % not showing-1 No.</t>
  </si>
  <si>
    <t>TSIII - Upgradable</t>
  </si>
  <si>
    <t>Cabinet scratches, alarm lamp cover missing</t>
  </si>
  <si>
    <t>24ZXS080101</t>
  </si>
  <si>
    <t>24ZXS092401</t>
  </si>
  <si>
    <t>24ZXS080102</t>
  </si>
  <si>
    <t>24ZXS110505</t>
  </si>
  <si>
    <t>24ZXS123101</t>
  </si>
  <si>
    <t>Failure QTY</t>
  </si>
  <si>
    <t>P/N</t>
  </si>
  <si>
    <t>Problem Description</t>
  </si>
  <si>
    <t>Part description</t>
  </si>
  <si>
    <t>24ZX102101</t>
  </si>
  <si>
    <t>Total SKD kits cannot be make saleable</t>
  </si>
  <si>
    <t>BLT Invoice No &amp; Date</t>
  </si>
  <si>
    <t xml:space="preserve">Cabinet top side damaged - 2 no's </t>
  </si>
  <si>
    <t>No Sequence number</t>
  </si>
  <si>
    <t>Side panel assembly</t>
  </si>
  <si>
    <t>Temp2 not working</t>
  </si>
  <si>
    <t>Key function not working properly</t>
  </si>
  <si>
    <t>60.000820</t>
  </si>
  <si>
    <t>60.000547</t>
  </si>
  <si>
    <t>60.000549</t>
  </si>
  <si>
    <t>Failure Qty</t>
  </si>
  <si>
    <t>Connector damaged-7nos, Vertical blue line-10nos, Frame bend-1no &amp; blank display-1no &amp; Frame insert problem 1no</t>
  </si>
  <si>
    <t>Deep scratch mark-4nos, Cabinet top &amp; right side buldge- 2 no's</t>
  </si>
  <si>
    <t>Connector damaged-1no. 
Sequence number missing - 6 No's</t>
  </si>
  <si>
    <t>60.000845A</t>
  </si>
  <si>
    <t>60.000854A</t>
  </si>
  <si>
    <t>Sticker scratches-1no, Doc -10 Connector problem - 3no's</t>
  </si>
  <si>
    <t>60.000802A</t>
  </si>
  <si>
    <t>60.000841V</t>
  </si>
  <si>
    <t>60.000844A</t>
  </si>
  <si>
    <t>60.000843V</t>
  </si>
  <si>
    <t>60.000840A</t>
  </si>
  <si>
    <t>M1000104</t>
  </si>
  <si>
    <t>M1000106</t>
  </si>
  <si>
    <t>M1000108</t>
  </si>
  <si>
    <t>M1000103</t>
  </si>
  <si>
    <t>M1000102</t>
  </si>
  <si>
    <t>10.4' LCD</t>
  </si>
  <si>
    <t xml:space="preserve">Front cover assembly with Touch Screen </t>
  </si>
  <si>
    <t>Power board (SMPS)</t>
  </si>
  <si>
    <t>1.14.101-0010-00-1</t>
  </si>
  <si>
    <t>1.19.13-000001-0-1</t>
  </si>
  <si>
    <t>1.15.01-0063-01-00</t>
  </si>
  <si>
    <t>Brightness issue</t>
  </si>
  <si>
    <t>touch option not working</t>
  </si>
  <si>
    <t>output not coming</t>
  </si>
  <si>
    <t>60.000743A</t>
  </si>
  <si>
    <t>BACK PANEL STICKER POWER SOURCE ASSY TS III BASIC</t>
  </si>
  <si>
    <t>Battery lock of TS III</t>
  </si>
  <si>
    <t>Fan for TS III</t>
  </si>
  <si>
    <t>I/O BOARD</t>
  </si>
  <si>
    <t>LVDS cable</t>
  </si>
  <si>
    <t>Spo2 IF board</t>
  </si>
  <si>
    <t xml:space="preserve">Spo2 Module </t>
  </si>
  <si>
    <t>Power source assembly frame</t>
  </si>
  <si>
    <t>Back cabinet assembly</t>
  </si>
  <si>
    <t>Power source assembly frame-TS III  back panel sticker scratches-4 nos , Spring damaged-1 no.</t>
  </si>
  <si>
    <t>Power source assembly frame-TS III Battery lock damaged</t>
  </si>
  <si>
    <t>Key board function not working. SN: AJ-D24070186</t>
  </si>
  <si>
    <t>ECG noise. SN: 00ZD00010820</t>
  </si>
  <si>
    <t>Fan noise</t>
  </si>
  <si>
    <t>Unit not getting on-2 Nos. SN: 17MD0006274 &amp; 17MD0006057</t>
  </si>
  <si>
    <t>Key function not working. SN:  17MD0006100 &amp; 17MD0006308 &amp; 17MD0005518</t>
  </si>
  <si>
    <t>Battery % not shows full after full charge. SN: 17MD0006195</t>
  </si>
  <si>
    <t>LVDS cable damage from board end</t>
  </si>
  <si>
    <t>Spo2 base line not coming</t>
  </si>
  <si>
    <t>Speaker not working</t>
  </si>
  <si>
    <t>Spo2 waveform not coming. SN: 09ZD0002667 &amp; 09ZD0003347 &amp; 09ZD0003046</t>
  </si>
  <si>
    <t>Spo2 base line not coming. SN: 09ZD0002574</t>
  </si>
  <si>
    <t>Thread not there for Arm board fixing spacer</t>
  </si>
  <si>
    <t>Power socket bend</t>
  </si>
  <si>
    <t>Bottom side M4 spacer size mismatch </t>
  </si>
  <si>
    <t>Side plate fixing Insert is not there</t>
  </si>
  <si>
    <t>60.000856A</t>
  </si>
  <si>
    <t>50.000260</t>
  </si>
  <si>
    <t>50.000230</t>
  </si>
  <si>
    <t>2.00.0048-03-01</t>
  </si>
  <si>
    <t>60.000851A</t>
  </si>
  <si>
    <t>60.000850A</t>
  </si>
  <si>
    <t>1. Black dot - 5 Nos 
2. Printing issue  - 1No. 
3. Scratch -1 No., Fan noise - 4nos
Speaker sound not come - 3nos
Rear cabinet handle scratch - 1no</t>
  </si>
  <si>
    <t xml:space="preserve">sticker scratch, Spo2 connector one side not fixed properly - 5nos
Spo2 wave form not come - 2nos
Spo2 sensor not detected - 1no   </t>
  </si>
  <si>
    <t>Unit not Switching ON, Not getting on - 4nos (IF board) SN.17MD0006718, 17MD0007038,17MD0006795,17MD0006675,17MD0006687,
17MD0003254
AJ-D24100928,AJ-D24111149,AJ-E23030017
Alarm (Orange) LED not glowing - 1no (IF Board)
Unit hanging &amp; key function not working - 3nos (ARM Board)</t>
  </si>
  <si>
    <t>ECG Noise - 1no
SPO2 Base line not come - 1no
NIBP Not working (intermidiate)  - 1no, SN.00ZD0012487
00ZD0013972
00ZD0014075</t>
  </si>
  <si>
    <t>60.000858A</t>
  </si>
  <si>
    <t>60.000843A</t>
  </si>
  <si>
    <t>60.000859A</t>
  </si>
  <si>
    <t>60.000857A</t>
  </si>
  <si>
    <t>60.000803</t>
  </si>
  <si>
    <t>Digital BM-100A module</t>
  </si>
  <si>
    <t>SILICA GEL KEYBOARD</t>
  </si>
  <si>
    <t>12.1' LCD</t>
  </si>
  <si>
    <t>Connector base plate bend-1 No. Frame bend near power socket-1 No.</t>
  </si>
  <si>
    <t>Side plate scratches</t>
  </si>
  <si>
    <t>Not getting on. SN: 17MD0006926, 17MD0006934, 17MD0006867, 17MD0006853, 17MD0006846, 17MD0006924</t>
  </si>
  <si>
    <t>Key function not working &amp; mains symbol not showing. SN: 17MD0006945</t>
  </si>
  <si>
    <t>Spo2 waveform not coming. SN:09ZD0003032, 09ZD0003098</t>
  </si>
  <si>
    <t>Spo2 base line not coming. SN: 09ZD0003035</t>
  </si>
  <si>
    <t>SP02 IF baord fixing spacer missing</t>
  </si>
  <si>
    <t>Alarm disable symbol is not proper</t>
  </si>
  <si>
    <t>Display color changed. SN: NL-3U24050068</t>
  </si>
  <si>
    <t>Handle for TS III</t>
  </si>
  <si>
    <t>Deep scratch mark visible in top side of cabinet(handle bottom)</t>
  </si>
  <si>
    <t>Item No.</t>
  </si>
  <si>
    <t>Import invoice &amp; Date details</t>
  </si>
  <si>
    <t>TSIII -Upgradable</t>
  </si>
  <si>
    <t>BACK PANEL STICKER POWER SOURCE TS III UPGRADE</t>
  </si>
  <si>
    <t xml:space="preserve">FRONT CABINET FOR TS III </t>
  </si>
  <si>
    <t>Backlight cable TS III</t>
  </si>
  <si>
    <t xml:space="preserve">Battery lock of TS III </t>
  </si>
  <si>
    <t xml:space="preserve">LCD assembly </t>
  </si>
  <si>
    <t>Scratches-2nos, White dot-1no.</t>
  </si>
  <si>
    <t>Shortage receipt</t>
  </si>
  <si>
    <t>Wrong item recv'd</t>
  </si>
  <si>
    <t>Green dot-2nos. SN: NL-3U24100674, NL-3U24100701</t>
  </si>
  <si>
    <t>M10</t>
  </si>
  <si>
    <t xml:space="preserve">1.19.13-000001-0-1 </t>
  </si>
  <si>
    <t>Front cover &amp; Speaker (without touchscreen)</t>
  </si>
  <si>
    <t>LCD Dull Display</t>
  </si>
  <si>
    <t>Front cover checked and found to be ok. But speaker not ok due to not working.</t>
  </si>
  <si>
    <t>DIGITAL SPO2 MODULE</t>
  </si>
  <si>
    <t>NA</t>
  </si>
  <si>
    <t xml:space="preserve">ALARM LAMP COVER </t>
  </si>
  <si>
    <t>SMPS Fan</t>
  </si>
  <si>
    <t>50.000316A</t>
  </si>
  <si>
    <t>BM-100A module(2-IBP,Nellcor)</t>
  </si>
  <si>
    <t>50.000120</t>
  </si>
  <si>
    <t>SPO2 SOCKET - DOC -10 TYPE</t>
  </si>
  <si>
    <t>10.4' LCD with foam</t>
  </si>
  <si>
    <t>TSIII - Non Upgradable</t>
  </si>
  <si>
    <t>LCD assembly with base plate</t>
  </si>
  <si>
    <t>LVDS Cable</t>
  </si>
  <si>
    <t>Ultra Q5 (Digital)</t>
  </si>
  <si>
    <t>BOARD FOR DOUBLE CHANNELS SLOTS-NEW TYPE</t>
  </si>
  <si>
    <t>Sensor not detected - Z20448737</t>
  </si>
  <si>
    <t>Cabinet Scratches</t>
  </si>
  <si>
    <t>Wrong item Rece'd</t>
  </si>
  <si>
    <t>Front cabinets replacement received without lamp cover</t>
  </si>
  <si>
    <t>Vibration problem</t>
  </si>
  <si>
    <t>module recv'd without shield. And also module not working</t>
  </si>
  <si>
    <t>Wrong item Blue colour connector digital type Received</t>
  </si>
  <si>
    <t>LCD base plate only recv'd, LCD Not received</t>
  </si>
  <si>
    <t>Wrong item 2nos recv'd</t>
  </si>
  <si>
    <t>I/O board only recv'd.  Arm board not recv'd</t>
  </si>
  <si>
    <t>Not Working &amp; pin damage</t>
  </si>
  <si>
    <t>SMPS only recv'd. Arm board not received</t>
  </si>
  <si>
    <t>Qty</t>
  </si>
  <si>
    <t>Truscope Ultra Q5 - Digital</t>
  </si>
  <si>
    <t>Truscope Ultra Q5 - Nellcor</t>
  </si>
  <si>
    <t>24ZXS101501</t>
  </si>
  <si>
    <t>24ZXS112101</t>
  </si>
  <si>
    <t>24ZXS123001</t>
  </si>
  <si>
    <t>24ZXS102101</t>
  </si>
  <si>
    <t>Blue veritical line-1 No.</t>
  </si>
  <si>
    <t>Received Date</t>
  </si>
  <si>
    <r>
      <t>Low brightness-1No., Dot issue-5 Nos ( 3 nos balck dot, 1 nos green dot , 1 nos red dot) SN. NL-3U24110486,NL-3U24110713, NL-3U24110015, Frame damage + green dot - 1 No, Frame damage + corner dot - 1 No, SN. NL-3U24110616, NL-3U24110494
NL-3U24110824, NL-3U24110734
NL-3U24110901, b</t>
    </r>
    <r>
      <rPr>
        <b/>
        <sz val="11"/>
        <rFont val="Calibri"/>
        <family val="2"/>
      </rPr>
      <t>acklight cable damage-15 nos, LVDS cable damaged, 2 nos</t>
    </r>
  </si>
  <si>
    <t>24ZXS121903-01</t>
  </si>
  <si>
    <t>Battery</t>
  </si>
  <si>
    <t xml:space="preserve"> 28-12-2024</t>
  </si>
  <si>
    <t>1. Cabinet scartch and silicon key printing peeloff -13 No's 
2. Silicon key printing not proper -11No's
3. Cabinet insert missing and Silicon key printing peeloff - 1No's
4. Silicon key printing not proper and peel off - 3No's 
5. Silicon key printing peeloff - 3No's, Cabinet with keyboard - 3 no's</t>
  </si>
  <si>
    <t>Rust on battery terminal-77 No's, 
Including (Battery lock Damage-  2 No's, sticker scratch- 6 No's)</t>
  </si>
  <si>
    <t>VGA FRC cable damaged-1no, I/O Board problem Unit not getting on - 1 no.</t>
  </si>
  <si>
    <t>Cabinet scratches-8nos, Encoder function not working properly-2 no's</t>
  </si>
  <si>
    <t>Black dots-6nos, speaker problem - 4no's</t>
  </si>
  <si>
    <t>Mini</t>
  </si>
  <si>
    <t>Failure details</t>
  </si>
  <si>
    <t xml:space="preserve">Power source assembly frame-TS III 
Back panel sticker scratches-3 nos. </t>
  </si>
  <si>
    <t>24HGZ121102 dt.11.12.2024</t>
  </si>
  <si>
    <t>24HGZ121101 dt.11.12.2024</t>
  </si>
  <si>
    <t>24ZXS121903 dt.19-12-2024</t>
  </si>
  <si>
    <t>24HGZ120601 dt. 06-12-2024</t>
  </si>
  <si>
    <t>SH241015001 dt. 14-10-2024</t>
  </si>
  <si>
    <t>27 sets</t>
  </si>
  <si>
    <t>25ZXS020901</t>
  </si>
  <si>
    <t>Double Channel slots</t>
  </si>
  <si>
    <t>BM100A Module with IBP - Digital</t>
  </si>
  <si>
    <t>1. Flickering Issue -2 No.
2. Unit Not Switching ON -1No</t>
  </si>
  <si>
    <t>J-3 Connector Damege - 3Nos</t>
  </si>
  <si>
    <t>ECG Communication Error</t>
  </si>
  <si>
    <t>1. Connector Damage - 3 nos.
2. U1 Processor burnt - 1 No.</t>
  </si>
  <si>
    <t>https://drive.google.com/drive/folders/1kRoaZ3SfxQfIV2wPlYUw-e8snUHIafVV</t>
  </si>
  <si>
    <r>
      <t xml:space="preserve">1. J-12 Connector damage - 3 Nos.
2. J-4 Connector damage - 1No.
3. Blue Line on LCD - 9 No's
4. </t>
    </r>
    <r>
      <rPr>
        <sz val="11"/>
        <color theme="1"/>
        <rFont val="Aptos narrow"/>
      </rPr>
      <t>Flickering Issue - 2 No's</t>
    </r>
  </si>
  <si>
    <t>Reference images</t>
  </si>
  <si>
    <t>Additional remarks</t>
  </si>
  <si>
    <t>1. Keyboard Control Board - 4 Nos.
2. LCD - 9 Nos</t>
  </si>
  <si>
    <t xml:space="preserve">Double Channel slots - 4 no's </t>
  </si>
  <si>
    <t>Rear connector plate - 3 no's</t>
  </si>
  <si>
    <t xml:space="preserve">Arm Board - 3 no's </t>
  </si>
  <si>
    <t>BM100A module Digital with IBP - 1 no</t>
  </si>
  <si>
    <t>Item Name</t>
  </si>
  <si>
    <t xml:space="preserve">Additional Remarks </t>
  </si>
  <si>
    <t>Serial No./Lot No.</t>
  </si>
  <si>
    <t>Rejection Images</t>
  </si>
  <si>
    <t>25ZXS022001</t>
  </si>
  <si>
    <t>Spo2 DOC10 socket -2 Nos</t>
  </si>
  <si>
    <t>09ZD0004403, 09ZD0004830</t>
  </si>
  <si>
    <t>https://drive.google.com/drive/folders/1jMYEWMX8A0rotngfutG1f6U1s8sJxK_m</t>
  </si>
  <si>
    <t>Digital BM-100A module -1 No</t>
  </si>
  <si>
    <t>00ZE0000245</t>
  </si>
  <si>
    <t>MB350 arm board assembly</t>
  </si>
  <si>
    <t>MB350 ARM board assembly - 1 No</t>
  </si>
  <si>
    <t>AJ-D24110501</t>
  </si>
  <si>
    <t>60.000841A</t>
  </si>
  <si>
    <t>Battery- 5 Nos. 
SOP Board Power Source Sticker - 4 Nos.
Battery Lock - 1 No.
Power source Metal frame- 1No</t>
  </si>
  <si>
    <t>LCD - 5 Nos.
Backlight Cable - 2 Nos.
LVDS Cable - 2 Nos.</t>
  </si>
  <si>
    <t>NL-3U25010495, NL -3U25010883,
NL-3U25010848, NL -3U25010494,
NL -3U25010625, NL-3U25010562,
NL-3U25010929, NL-3U25010656,
NL-3U25010691</t>
  </si>
  <si>
    <t>Sillicon Key Pad - 4 Nos.
Cabinet - 2 Nos.</t>
  </si>
  <si>
    <t>Back cabinet(cabinet assembly)</t>
  </si>
  <si>
    <t>Cabinet - 3 Nos.</t>
  </si>
  <si>
    <t>SpO2 Waveform not coming - 2 Nos</t>
  </si>
  <si>
    <t>SpO2 Base line not Coming - 1No.</t>
  </si>
  <si>
    <t>Unit Not Switching On-1No</t>
  </si>
  <si>
    <t>Sticker Scratch and Battery terminal Rust - 1No.
Battery terminal Rust - 3. 
Power socket bend and Battery terminal Rust -1 No.
Sticker Scratch- 2 No.
Sticker Scratch and Battery Lock Damage - 1No.</t>
  </si>
  <si>
    <t>⁠Dust on LCD -1 No 
⁠Dot issue-4 nos ( Green dot -1 no.Blue Dot-3).
Cable Damage-2nos ( Backlight Cable Damage - 2 nos).
LVDS Connector Damage - 2 Nos</t>
  </si>
  <si>
    <t>Sillicon Keypad peeloff - 3 Nos.
Black Dot on Cabinet - 1Nos.
Printing problem in Sillicon Keypad -1
Printing issue in cabinet - 1 Nos.</t>
  </si>
  <si>
    <t>Inserrt Missing - 1 No.
Black Dot on Cabinet - 1No.
Cabinet Lock Damage - 1 No.</t>
  </si>
  <si>
    <r>
      <t>NL-3U24120711, NL-3U24121156
NL-3U24120678, NL-3U24120773
NL-3U24120869, NL-3U24120753, 
NL-3U24120707,NL-3U24120784, 
NL-3U24120706,NL-3U24120750, 
NL-3U24101066,NL-3U24120780, 
NL-3U24121154,</t>
    </r>
    <r>
      <rPr>
        <sz val="11"/>
        <rFont val="Aptos Narrow"/>
      </rPr>
      <t>NL-3U24121083, 
NL-3U24121154</t>
    </r>
  </si>
  <si>
    <t>00ZE0000363</t>
  </si>
  <si>
    <t>AJ-G24100445, AJ-G24010196
AJ-G24100819</t>
  </si>
  <si>
    <t>Truscope III- Analog</t>
  </si>
  <si>
    <t>Truscope III -Nellcor</t>
  </si>
  <si>
    <t>Truscope III - Masimo</t>
  </si>
  <si>
    <t>Truscope M10  with Touch</t>
  </si>
  <si>
    <t>25ZXS030401</t>
  </si>
  <si>
    <t>Problem reported date to BLT</t>
  </si>
  <si>
    <t>Spo2 extension cable - 3 nos</t>
  </si>
  <si>
    <t>Analog spo2 extension cable</t>
  </si>
  <si>
    <t>15-100-0349</t>
  </si>
  <si>
    <t>IO Board -3 Nos.</t>
  </si>
  <si>
    <t>SMPS Module-1</t>
  </si>
  <si>
    <t>50.000302A</t>
  </si>
  <si>
    <t>BM100A Module - 1 no</t>
  </si>
  <si>
    <t>Digital BM-100A module with SpO2</t>
  </si>
  <si>
    <t>Analog Module - 2
Spo2 DOC10 Socket - 3
Side plate sticker - 1no</t>
  </si>
  <si>
    <t>Side Plate Assy(2-IBP 1-TEMP with Analog SpO2)</t>
  </si>
  <si>
    <t>Frame - 4 nos
Battery - 1no
Battery lock-1no
power source sticker -1no</t>
  </si>
  <si>
    <t xml:space="preserve">Power source assembly frame </t>
  </si>
  <si>
    <t>LCD -3 nos.
Backlight cable - 1 No</t>
  </si>
  <si>
    <t>Front Cabinet - 2 nos</t>
  </si>
  <si>
    <t>https://drive.google.com/drive/folders/1pg-jIfE0mhG1j6UMY4w6Y3Xs1FCXbMDi</t>
  </si>
  <si>
    <t>Back Cabinet -6 nos</t>
  </si>
  <si>
    <t>Final Remarks</t>
  </si>
  <si>
    <t>Supplier planning to dispatch the replaced spares against invoice 25HGZ041501 on 23rd April'25</t>
  </si>
  <si>
    <r>
      <t xml:space="preserve">Supplier planning to dispatch the replaced spares </t>
    </r>
    <r>
      <rPr>
        <sz val="11"/>
        <color rgb="FFFF0000"/>
        <rFont val="Aptos Narrow"/>
        <family val="2"/>
        <scheme val="minor"/>
      </rPr>
      <t>(Except LCD)</t>
    </r>
    <r>
      <rPr>
        <sz val="11"/>
        <color theme="1"/>
        <rFont val="Aptos Narrow"/>
        <family val="2"/>
        <scheme val="minor"/>
      </rPr>
      <t xml:space="preserve"> against invoice 25HGZ041501 on 23rd April'25</t>
    </r>
  </si>
  <si>
    <r>
      <rPr>
        <b/>
        <sz val="11"/>
        <color rgb="FFFF0000"/>
        <rFont val="Aptos Narrow"/>
        <family val="2"/>
        <scheme val="minor"/>
      </rPr>
      <t>1. Dull display - 74No's</t>
    </r>
    <r>
      <rPr>
        <sz val="11"/>
        <color rgb="FFFF0000"/>
        <rFont val="Aptos Narrow"/>
        <family val="2"/>
        <scheme val="minor"/>
      </rPr>
      <t xml:space="preserve">
2. Dot on the display.(Red, Green, Black) - 9No's
3. Rust on insert - 1No
4. Vertical line - 1No</t>
    </r>
  </si>
  <si>
    <t xml:space="preserve">Given from service </t>
  </si>
  <si>
    <t>Received</t>
  </si>
  <si>
    <t xml:space="preserve">Received </t>
  </si>
  <si>
    <t>Received module not working</t>
  </si>
  <si>
    <t>Masimo module 2 no's not received</t>
  </si>
  <si>
    <t>Side connector panel problem, I/F board &amp; SPO2 Module and sticker scratches</t>
  </si>
  <si>
    <t xml:space="preserve">Replacement Status </t>
  </si>
  <si>
    <t>Replacement received against invoice 25HGZ040301 dt 03.04.2025</t>
  </si>
  <si>
    <t>Replacement Pending from BLT</t>
  </si>
  <si>
    <t xml:space="preserve">Received wrongly instead of complete battery lock. </t>
  </si>
  <si>
    <t>Received NIBP Module instead of Spo2 module</t>
  </si>
  <si>
    <t xml:space="preserve">Analog Interface board and analog module not received. Only sticker received. </t>
  </si>
  <si>
    <t>BLT planning to dispatch the replaced spares (Except LCD) against invoice 25HGZ041501 on 23rd April'25</t>
  </si>
  <si>
    <t>BLT planning to dispatch the replaced spares against invoice 25HGZ041501 on 23rd April'25</t>
  </si>
  <si>
    <t>Tsruscope III- Basic</t>
  </si>
  <si>
    <t>25ZXS031103</t>
  </si>
  <si>
    <r>
      <t>17ME000101+L+I1:M8</t>
    </r>
    <r>
      <rPr>
        <sz val="11"/>
        <rFont val="Calibri"/>
        <family val="2"/>
      </rPr>
      <t>+I1:M8</t>
    </r>
  </si>
  <si>
    <t>Interface board - 1no</t>
  </si>
  <si>
    <t>XH-1N25020133</t>
  </si>
  <si>
    <t>SMPS Module-1 No.</t>
  </si>
  <si>
    <t xml:space="preserve">SMPS </t>
  </si>
  <si>
    <t xml:space="preserve">Side plate sticker - 4 Nos. 
Nellcor Spo2 I/F board - 2no
DOC-10 connector - 1no
</t>
  </si>
  <si>
    <t xml:space="preserve">Battery lock- 4 Nos.
Power source frame - 1no
</t>
  </si>
  <si>
    <t>NL-3U24120316</t>
  </si>
  <si>
    <t>LCD -1 No.
Backlight cable - 1 No</t>
  </si>
  <si>
    <t>Front Cabinet - 3Nos.
Silicon keypad - 2Nos.</t>
  </si>
  <si>
    <t>https://drive.google.com/drive/folders/1tBpl7vX40VPHR7phk7J9pX6wQLj21FQ6</t>
  </si>
  <si>
    <t>Back Cabinet -1 No.</t>
  </si>
  <si>
    <t>Rejection Images /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</si>
</sst>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[$-14009]dd/mm/yyyy;@"/>
  </numFmts>
  <fonts count="33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rgb="FF242424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u/>
      <sz val="11"/>
      <color theme="10"/>
      <name val="Aptos Narrow"/>
      <family val="2"/>
      <scheme val="minor"/>
    </font>
    <font>
      <u/>
      <sz val="11"/>
      <color rgb="FF0070C0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ptos"/>
    </font>
    <font>
      <sz val="11"/>
      <color rgb="FF0070C0"/>
      <name val="Aptos"/>
    </font>
    <font>
      <sz val="11"/>
      <name val="Aptos Narrow"/>
    </font>
    <font>
      <u/>
      <sz val="11"/>
      <color theme="10"/>
      <name val="Calibri"/>
      <family val="2"/>
    </font>
    <font>
      <sz val="11"/>
      <color rgb="FF0070C0"/>
      <name val="Calibri"/>
      <family val="2"/>
    </font>
    <font>
      <sz val="12"/>
      <color rgb="FF0070C0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sz val="11"/>
      <name val="Aptos"/>
      <family val="2"/>
    </font>
    <font>
      <sz val="11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7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8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5" fontId="3" fillId="0" borderId="2" xfId="0" applyNumberFormat="1" applyFont="1" applyBorder="1" applyAlignment="1">
      <alignment horizontal="left" vertical="top" wrapText="1"/>
    </xf>
    <xf numFmtId="15" fontId="3" fillId="0" borderId="2" xfId="0" applyNumberFormat="1" applyFont="1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 wrapText="1"/>
    </xf>
    <xf numFmtId="165" fontId="0" fillId="0" borderId="1" xfId="0" applyNumberForma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14" fontId="3" fillId="0" borderId="2" xfId="0" applyNumberFormat="1" applyFont="1" applyBorder="1" applyAlignment="1">
      <alignment horizontal="left" vertical="top"/>
    </xf>
    <xf numFmtId="14" fontId="5" fillId="0" borderId="2" xfId="0" applyNumberFormat="1" applyFont="1" applyBorder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1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2" borderId="1" xfId="0" quotePrefix="1" applyFill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0" xfId="0" applyFont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49" fontId="13" fillId="0" borderId="1" xfId="0" applyNumberFormat="1" applyFont="1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/>
    </xf>
    <xf numFmtId="0" fontId="15" fillId="4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2" borderId="1" xfId="0" quotePrefix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14" fontId="8" fillId="0" borderId="2" xfId="0" applyNumberFormat="1" applyFont="1" applyBorder="1" applyAlignment="1">
      <alignment horizontal="left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0" borderId="0" xfId="0" applyFont="1" applyAlignment="1">
      <alignment vertical="top"/>
    </xf>
    <xf numFmtId="0" fontId="10" fillId="5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top"/>
    </xf>
    <xf numFmtId="0" fontId="6" fillId="2" borderId="1" xfId="0" quotePrefix="1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 wrapText="1"/>
    </xf>
    <xf numFmtId="0" fontId="21" fillId="6" borderId="1" xfId="0" applyFont="1" applyFill="1" applyBorder="1" applyAlignment="1">
      <alignment horizontal="left" vertical="top"/>
    </xf>
    <xf numFmtId="0" fontId="21" fillId="6" borderId="1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/>
    </xf>
    <xf numFmtId="9" fontId="8" fillId="0" borderId="1" xfId="1" applyFont="1" applyBorder="1" applyAlignment="1">
      <alignment horizontal="left" vertical="top"/>
    </xf>
    <xf numFmtId="0" fontId="26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left" vertical="top" wrapText="1"/>
    </xf>
    <xf numFmtId="0" fontId="26" fillId="2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/>
    </xf>
    <xf numFmtId="0" fontId="26" fillId="2" borderId="1" xfId="0" applyFont="1" applyFill="1" applyBorder="1" applyAlignment="1">
      <alignment horizontal="left" vertical="top"/>
    </xf>
    <xf numFmtId="14" fontId="26" fillId="0" borderId="1" xfId="0" applyNumberFormat="1" applyFont="1" applyBorder="1" applyAlignment="1">
      <alignment horizontal="left" vertical="top" wrapText="1"/>
    </xf>
    <xf numFmtId="0" fontId="26" fillId="0" borderId="0" xfId="0" applyFont="1" applyAlignment="1">
      <alignment horizontal="left" vertical="top"/>
    </xf>
    <xf numFmtId="0" fontId="27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left" vertical="top"/>
    </xf>
    <xf numFmtId="0" fontId="26" fillId="2" borderId="1" xfId="0" quotePrefix="1" applyFont="1" applyFill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28" fillId="0" borderId="1" xfId="0" applyFont="1" applyBorder="1" applyAlignment="1">
      <alignment horizontal="left" vertical="top"/>
    </xf>
    <xf numFmtId="0" fontId="28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vertical="top"/>
    </xf>
    <xf numFmtId="0" fontId="30" fillId="0" borderId="1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2" borderId="6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9" fillId="0" borderId="1" xfId="2" applyBorder="1" applyAlignment="1">
      <alignment horizontal="left" vertical="top" wrapText="1"/>
    </xf>
    <xf numFmtId="0" fontId="11" fillId="4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 wrapText="1"/>
    </xf>
    <xf numFmtId="14" fontId="13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15" fontId="13" fillId="0" borderId="1" xfId="0" applyNumberFormat="1" applyFont="1" applyBorder="1" applyAlignment="1">
      <alignment horizontal="left" vertical="top" wrapText="1"/>
    </xf>
    <xf numFmtId="165" fontId="13" fillId="0" borderId="1" xfId="0" applyNumberFormat="1" applyFont="1" applyBorder="1" applyAlignment="1">
      <alignment horizontal="left" vertical="top" wrapText="1"/>
    </xf>
    <xf numFmtId="14" fontId="13" fillId="0" borderId="1" xfId="0" applyNumberFormat="1" applyFont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4" fontId="0" fillId="0" borderId="2" xfId="0" applyNumberFormat="1" applyBorder="1" applyAlignment="1">
      <alignment horizontal="left" vertical="top" wrapText="1"/>
    </xf>
    <xf numFmtId="14" fontId="0" fillId="0" borderId="4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8" fillId="0" borderId="1" xfId="0" applyFont="1" applyBorder="1" applyAlignment="1">
      <alignment horizontal="center" vertical="top"/>
    </xf>
    <xf numFmtId="14" fontId="8" fillId="0" borderId="1" xfId="0" applyNumberFormat="1" applyFont="1" applyBorder="1" applyAlignment="1">
      <alignment horizontal="center" vertical="top"/>
    </xf>
    <xf numFmtId="0" fontId="25" fillId="0" borderId="1" xfId="2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14" fontId="8" fillId="0" borderId="2" xfId="0" applyNumberFormat="1" applyFont="1" applyBorder="1" applyAlignment="1">
      <alignment horizontal="left" vertical="top"/>
    </xf>
    <xf numFmtId="14" fontId="8" fillId="0" borderId="3" xfId="0" applyNumberFormat="1" applyFont="1" applyBorder="1" applyAlignment="1">
      <alignment horizontal="left" vertical="top"/>
    </xf>
    <xf numFmtId="14" fontId="8" fillId="0" borderId="4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165" fontId="8" fillId="0" borderId="1" xfId="0" applyNumberFormat="1" applyFont="1" applyBorder="1" applyAlignment="1">
      <alignment horizontal="left" vertical="top" wrapText="1"/>
    </xf>
    <xf numFmtId="0" fontId="19" fillId="0" borderId="1" xfId="2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 wrapText="1"/>
    </xf>
    <xf numFmtId="14" fontId="26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top"/>
    </xf>
    <xf numFmtId="14" fontId="22" fillId="0" borderId="1" xfId="0" applyNumberFormat="1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14" fontId="8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20" fillId="0" borderId="1" xfId="2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14" fontId="0" fillId="0" borderId="4" xfId="0" applyNumberFormat="1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 wrapText="1"/>
    </xf>
    <xf numFmtId="14" fontId="0" fillId="0" borderId="1" xfId="0" applyNumberFormat="1" applyBorder="1" applyAlignment="1">
      <alignment horizontal="left" vertical="top" wrapText="1"/>
    </xf>
    <xf numFmtId="14" fontId="8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/>
    </xf>
    <xf numFmtId="0" fontId="32" fillId="0" borderId="1" xfId="0" applyFont="1" applyBorder="1" applyAlignment="1">
      <alignment horizontal="left" vertical="top"/>
    </xf>
    <xf numFmtId="14" fontId="32" fillId="0" borderId="1" xfId="0" applyNumberFormat="1" applyFont="1" applyBorder="1" applyAlignment="1">
      <alignment horizontal="left" vertical="top"/>
    </xf>
    <xf numFmtId="0" fontId="32" fillId="0" borderId="1" xfId="0" applyFont="1" applyBorder="1" applyAlignment="1">
      <alignment horizontal="center" vertical="top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pg-jIfE0mhG1j6UMY4w6Y3Xs1FCXbMDi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jMYEWMX8A0rotngfutG1f6U1s8sJxK_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rive.google.com/drive/folders/1tBpl7vX40VPHR7phk7J9pX6wQLj21FQ6" TargetMode="External"/><Relationship Id="rId1" Type="http://schemas.openxmlformats.org/officeDocument/2006/relationships/hyperlink" Target="https://drive.google.com/drive/folders/1tBpl7vX40VPHR7phk7J9pX6wQLj21FQ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kRoaZ3SfxQfIV2wPlYUw-e8snUHIafVV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opLeftCell="A7" zoomScaleNormal="100" workbookViewId="0">
      <selection activeCell="G17" sqref="G17"/>
    </sheetView>
  </sheetViews>
  <sheetFormatPr defaultColWidth="9.140625" defaultRowHeight="15"/>
  <cols>
    <col min="1" max="1" width="26.85546875" style="42" bestFit="1" customWidth="1"/>
    <col min="2" max="2" width="18.42578125" style="42" bestFit="1" customWidth="1"/>
    <col min="3" max="4" width="12" style="42" bestFit="1" customWidth="1"/>
    <col min="5" max="5" width="11.5703125" style="42" bestFit="1" customWidth="1"/>
    <col min="6" max="6" width="21.140625" style="42" bestFit="1" customWidth="1"/>
    <col min="7" max="7" width="57.42578125" style="42" bestFit="1" customWidth="1"/>
    <col min="8" max="16384" width="9.140625" style="42"/>
  </cols>
  <sheetData>
    <row r="1" spans="1:7" s="40" customFormat="1" ht="31.5">
      <c r="A1" s="111" t="s">
        <v>0</v>
      </c>
      <c r="B1" s="111" t="s">
        <v>1</v>
      </c>
      <c r="C1" s="112" t="s">
        <v>266</v>
      </c>
      <c r="D1" s="112" t="s">
        <v>2</v>
      </c>
      <c r="E1" s="112" t="s">
        <v>90</v>
      </c>
      <c r="F1" s="112" t="s">
        <v>336</v>
      </c>
      <c r="G1" s="112" t="s">
        <v>363</v>
      </c>
    </row>
    <row r="2" spans="1:7" s="40" customFormat="1" ht="15.75">
      <c r="A2" s="120" t="s">
        <v>371</v>
      </c>
      <c r="B2" s="108" t="s">
        <v>113</v>
      </c>
      <c r="C2" s="53">
        <v>45534</v>
      </c>
      <c r="D2" s="49">
        <v>500</v>
      </c>
      <c r="E2" s="48">
        <v>2</v>
      </c>
      <c r="F2" s="46"/>
      <c r="G2" s="87" t="s">
        <v>365</v>
      </c>
    </row>
    <row r="3" spans="1:7" ht="15.75">
      <c r="A3" s="120"/>
      <c r="B3" s="108" t="s">
        <v>91</v>
      </c>
      <c r="C3" s="53">
        <v>45657</v>
      </c>
      <c r="D3" s="49">
        <v>500</v>
      </c>
      <c r="E3" s="48">
        <v>77</v>
      </c>
      <c r="F3" s="46"/>
      <c r="G3" s="87" t="s">
        <v>365</v>
      </c>
    </row>
    <row r="4" spans="1:7" ht="15.75">
      <c r="A4" s="120"/>
      <c r="B4" s="108" t="s">
        <v>114</v>
      </c>
      <c r="C4" s="53">
        <v>45595</v>
      </c>
      <c r="D4" s="49">
        <v>500</v>
      </c>
      <c r="E4" s="48">
        <v>29</v>
      </c>
      <c r="F4" s="46"/>
      <c r="G4" s="87" t="s">
        <v>365</v>
      </c>
    </row>
    <row r="5" spans="1:7" ht="15.75">
      <c r="A5" s="120"/>
      <c r="B5" s="108" t="s">
        <v>335</v>
      </c>
      <c r="C5" s="53">
        <v>45731</v>
      </c>
      <c r="D5" s="49">
        <v>500</v>
      </c>
      <c r="E5" s="48">
        <v>6</v>
      </c>
      <c r="F5" s="113">
        <v>45754</v>
      </c>
      <c r="G5" s="87" t="s">
        <v>365</v>
      </c>
    </row>
    <row r="6" spans="1:7" s="40" customFormat="1" ht="30">
      <c r="A6" s="121" t="s">
        <v>331</v>
      </c>
      <c r="B6" s="108" t="s">
        <v>115</v>
      </c>
      <c r="C6" s="53">
        <v>45534</v>
      </c>
      <c r="D6" s="49">
        <v>50</v>
      </c>
      <c r="E6" s="48">
        <v>1</v>
      </c>
      <c r="F6" s="46"/>
      <c r="G6" s="46" t="s">
        <v>364</v>
      </c>
    </row>
    <row r="7" spans="1:7" s="40" customFormat="1" ht="30">
      <c r="A7" s="122"/>
      <c r="B7" s="108" t="s">
        <v>116</v>
      </c>
      <c r="C7" s="53">
        <v>45608</v>
      </c>
      <c r="D7" s="49">
        <v>100</v>
      </c>
      <c r="E7" s="48">
        <v>27</v>
      </c>
      <c r="F7" s="46"/>
      <c r="G7" s="46" t="s">
        <v>364</v>
      </c>
    </row>
    <row r="8" spans="1:7" ht="15.75">
      <c r="A8" s="123"/>
      <c r="B8" s="114" t="s">
        <v>305</v>
      </c>
      <c r="C8" s="113">
        <v>45721</v>
      </c>
      <c r="D8" s="50">
        <v>250</v>
      </c>
      <c r="E8" s="50">
        <v>9</v>
      </c>
      <c r="F8" s="113">
        <v>45733</v>
      </c>
      <c r="G8" s="87" t="s">
        <v>365</v>
      </c>
    </row>
    <row r="9" spans="1:7" ht="15.75">
      <c r="A9" s="109" t="s">
        <v>332</v>
      </c>
      <c r="B9" s="115" t="s">
        <v>117</v>
      </c>
      <c r="C9" s="116">
        <v>45667</v>
      </c>
      <c r="D9" s="50">
        <v>200</v>
      </c>
      <c r="E9" s="51">
        <v>10</v>
      </c>
      <c r="F9" s="46"/>
      <c r="G9" s="87" t="s">
        <v>365</v>
      </c>
    </row>
    <row r="10" spans="1:7" ht="30">
      <c r="A10" s="52" t="s">
        <v>333</v>
      </c>
      <c r="B10" s="114" t="s">
        <v>117</v>
      </c>
      <c r="C10" s="117">
        <v>45636</v>
      </c>
      <c r="D10" s="50">
        <v>15</v>
      </c>
      <c r="E10" s="51">
        <v>3</v>
      </c>
      <c r="F10" s="46"/>
      <c r="G10" s="46" t="s">
        <v>364</v>
      </c>
    </row>
    <row r="11" spans="1:7" s="40" customFormat="1" ht="30">
      <c r="A11" s="53" t="s">
        <v>334</v>
      </c>
      <c r="B11" s="108" t="s">
        <v>261</v>
      </c>
      <c r="C11" s="53">
        <v>45591</v>
      </c>
      <c r="D11" s="49">
        <v>50</v>
      </c>
      <c r="E11" s="48">
        <v>28</v>
      </c>
      <c r="F11" s="46"/>
      <c r="G11" s="46" t="s">
        <v>369</v>
      </c>
    </row>
    <row r="12" spans="1:7" ht="30">
      <c r="A12" s="54" t="s">
        <v>92</v>
      </c>
      <c r="B12" s="54" t="s">
        <v>262</v>
      </c>
      <c r="C12" s="118" t="s">
        <v>44</v>
      </c>
      <c r="D12" s="56">
        <v>500</v>
      </c>
      <c r="E12" s="55">
        <v>85</v>
      </c>
      <c r="F12" s="46"/>
      <c r="G12" s="46" t="s">
        <v>369</v>
      </c>
    </row>
    <row r="13" spans="1:7" ht="15.75">
      <c r="A13" s="121" t="s">
        <v>259</v>
      </c>
      <c r="B13" s="114" t="s">
        <v>285</v>
      </c>
      <c r="C13" s="113">
        <v>45713</v>
      </c>
      <c r="D13" s="50">
        <v>100</v>
      </c>
      <c r="E13" s="50">
        <v>15</v>
      </c>
      <c r="F13" s="113">
        <v>45733</v>
      </c>
      <c r="G13" s="89" t="s">
        <v>365</v>
      </c>
    </row>
    <row r="14" spans="1:7" ht="30">
      <c r="A14" s="123"/>
      <c r="B14" s="108" t="s">
        <v>264</v>
      </c>
      <c r="C14" s="53">
        <v>45602</v>
      </c>
      <c r="D14" s="49">
        <v>50</v>
      </c>
      <c r="E14" s="48">
        <v>2</v>
      </c>
      <c r="F14" s="46"/>
      <c r="G14" s="46" t="s">
        <v>370</v>
      </c>
    </row>
    <row r="15" spans="1:7" ht="30">
      <c r="A15" s="120" t="s">
        <v>260</v>
      </c>
      <c r="B15" s="114" t="s">
        <v>264</v>
      </c>
      <c r="C15" s="113">
        <v>45602</v>
      </c>
      <c r="D15" s="50">
        <v>50</v>
      </c>
      <c r="E15" s="50">
        <v>1</v>
      </c>
      <c r="F15" s="46"/>
      <c r="G15" s="46" t="s">
        <v>370</v>
      </c>
    </row>
    <row r="16" spans="1:7" ht="30">
      <c r="A16" s="120"/>
      <c r="B16" s="114" t="s">
        <v>263</v>
      </c>
      <c r="C16" s="113">
        <v>45667</v>
      </c>
      <c r="D16" s="50">
        <v>100</v>
      </c>
      <c r="E16" s="50">
        <v>20</v>
      </c>
      <c r="F16" s="46"/>
      <c r="G16" s="46" t="s">
        <v>370</v>
      </c>
    </row>
    <row r="17" spans="1:7" ht="15.75">
      <c r="A17" s="109" t="s">
        <v>332</v>
      </c>
      <c r="B17" s="114" t="s">
        <v>372</v>
      </c>
      <c r="C17" s="113">
        <v>45741</v>
      </c>
      <c r="D17" s="50">
        <v>250</v>
      </c>
      <c r="E17" s="50">
        <v>6</v>
      </c>
      <c r="F17" s="179">
        <v>45773</v>
      </c>
      <c r="G17" s="89" t="s">
        <v>365</v>
      </c>
    </row>
    <row r="18" spans="1:7" ht="15.75">
      <c r="A18" s="119" t="s">
        <v>93</v>
      </c>
      <c r="B18" s="119"/>
      <c r="C18" s="119"/>
      <c r="D18" s="57">
        <f>SUM(D2:D17)</f>
        <v>3715</v>
      </c>
      <c r="E18" s="57">
        <f>SUM(E2:E17)</f>
        <v>321</v>
      </c>
      <c r="F18" s="85"/>
      <c r="G18" s="64"/>
    </row>
  </sheetData>
  <autoFilter ref="A1:G18" xr:uid="{00000000-0001-0000-0000-000000000000}"/>
  <mergeCells count="5">
    <mergeCell ref="A18:C18"/>
    <mergeCell ref="A15:A16"/>
    <mergeCell ref="A2:A5"/>
    <mergeCell ref="A6:A8"/>
    <mergeCell ref="A13:A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workbookViewId="0">
      <selection activeCell="A10" sqref="A10"/>
    </sheetView>
  </sheetViews>
  <sheetFormatPr defaultColWidth="9.140625" defaultRowHeight="15"/>
  <cols>
    <col min="1" max="1" width="39.28515625" style="14" bestFit="1" customWidth="1"/>
    <col min="2" max="2" width="21.85546875" style="14" bestFit="1" customWidth="1"/>
    <col min="3" max="3" width="17.42578125" style="14" customWidth="1"/>
    <col min="4" max="4" width="10" style="14" customWidth="1"/>
    <col min="5" max="5" width="13.28515625" style="14" customWidth="1"/>
    <col min="6" max="6" width="14" style="14" customWidth="1"/>
    <col min="7" max="7" width="18.42578125" style="14" customWidth="1"/>
    <col min="8" max="16384" width="9.140625" style="14"/>
  </cols>
  <sheetData>
    <row r="1" spans="1:6" s="2" customFormat="1" ht="30">
      <c r="A1" s="20" t="s">
        <v>0</v>
      </c>
      <c r="B1" s="21" t="s">
        <v>62</v>
      </c>
      <c r="C1" s="20" t="s">
        <v>1</v>
      </c>
      <c r="D1" s="21" t="s">
        <v>2</v>
      </c>
      <c r="E1" s="21"/>
      <c r="F1" s="21" t="s">
        <v>58</v>
      </c>
    </row>
    <row r="2" spans="1:6" s="2" customFormat="1" ht="30">
      <c r="A2" s="7" t="s">
        <v>63</v>
      </c>
      <c r="B2" s="11">
        <v>45534</v>
      </c>
      <c r="C2" s="12" t="s">
        <v>64</v>
      </c>
      <c r="D2" s="13">
        <v>500</v>
      </c>
      <c r="E2" s="7">
        <v>22</v>
      </c>
      <c r="F2" s="7">
        <v>0</v>
      </c>
    </row>
    <row r="3" spans="1:6" s="2" customFormat="1" ht="30">
      <c r="A3" s="7" t="s">
        <v>66</v>
      </c>
      <c r="B3" s="11">
        <v>45534</v>
      </c>
      <c r="C3" s="7" t="s">
        <v>65</v>
      </c>
      <c r="D3" s="13">
        <v>50</v>
      </c>
      <c r="E3" s="7">
        <v>1</v>
      </c>
      <c r="F3" s="7">
        <v>0</v>
      </c>
    </row>
    <row r="4" spans="1:6" ht="30">
      <c r="A4" s="7" t="s">
        <v>67</v>
      </c>
      <c r="B4" s="11">
        <v>45554</v>
      </c>
      <c r="C4" s="12" t="s">
        <v>68</v>
      </c>
      <c r="D4" s="13">
        <f>100-(E4+F4)</f>
        <v>98</v>
      </c>
      <c r="E4" s="8">
        <v>2</v>
      </c>
      <c r="F4" s="8">
        <v>0</v>
      </c>
    </row>
    <row r="5" spans="1:6" s="2" customFormat="1" ht="30">
      <c r="A5" s="25" t="s">
        <v>69</v>
      </c>
      <c r="B5" s="26" t="s">
        <v>71</v>
      </c>
      <c r="C5" s="25" t="s">
        <v>70</v>
      </c>
      <c r="D5" s="13">
        <f>450-(E5+F5)</f>
        <v>443</v>
      </c>
      <c r="E5" s="1">
        <v>3</v>
      </c>
      <c r="F5" s="1">
        <v>4</v>
      </c>
    </row>
    <row r="6" spans="1:6" s="2" customFormat="1" ht="30">
      <c r="A6" s="7" t="s">
        <v>74</v>
      </c>
      <c r="B6" s="11" t="s">
        <v>73</v>
      </c>
      <c r="C6" s="12" t="s">
        <v>72</v>
      </c>
      <c r="D6" s="13">
        <f>100-(E6+F6)</f>
        <v>97</v>
      </c>
      <c r="E6" s="16">
        <v>3</v>
      </c>
      <c r="F6" s="1">
        <v>0</v>
      </c>
    </row>
    <row r="7" spans="1:6" s="2" customFormat="1">
      <c r="A7" s="11" t="s">
        <v>75</v>
      </c>
      <c r="B7" s="11">
        <v>45584</v>
      </c>
      <c r="C7" s="12" t="s">
        <v>20</v>
      </c>
      <c r="D7" s="13">
        <f>100-(E7+F7)</f>
        <v>99</v>
      </c>
      <c r="E7" s="7">
        <v>0</v>
      </c>
      <c r="F7" s="7">
        <v>1</v>
      </c>
    </row>
    <row r="8" spans="1:6" s="2" customFormat="1" ht="30">
      <c r="A8" s="22" t="s">
        <v>76</v>
      </c>
      <c r="B8" s="11">
        <v>45591</v>
      </c>
      <c r="C8" s="7" t="s">
        <v>77</v>
      </c>
      <c r="D8" s="13">
        <f>50-(E8+F8)</f>
        <v>49</v>
      </c>
      <c r="E8" s="7">
        <v>1</v>
      </c>
      <c r="F8" s="1">
        <v>0</v>
      </c>
    </row>
    <row r="9" spans="1:6" ht="30">
      <c r="A9" s="12" t="s">
        <v>79</v>
      </c>
      <c r="B9" s="11">
        <v>45595</v>
      </c>
      <c r="C9" s="12" t="s">
        <v>78</v>
      </c>
      <c r="D9" s="13">
        <f>500-(E9+F9)</f>
        <v>476</v>
      </c>
      <c r="E9" s="7">
        <v>24</v>
      </c>
      <c r="F9" s="1">
        <v>0</v>
      </c>
    </row>
    <row r="10" spans="1:6" s="2" customFormat="1" ht="30">
      <c r="A10" s="7" t="s">
        <v>80</v>
      </c>
      <c r="B10" s="11">
        <v>45602</v>
      </c>
      <c r="C10" s="12" t="s">
        <v>81</v>
      </c>
      <c r="D10" s="13">
        <f>50-(E10+F10)</f>
        <v>36</v>
      </c>
      <c r="E10" s="7">
        <v>14</v>
      </c>
      <c r="F10" s="1">
        <v>0</v>
      </c>
    </row>
    <row r="11" spans="1:6" s="2" customFormat="1">
      <c r="A11" s="126" t="s">
        <v>19</v>
      </c>
      <c r="B11" s="128">
        <v>45608</v>
      </c>
      <c r="C11" s="126" t="s">
        <v>82</v>
      </c>
      <c r="D11" s="13">
        <f>100-(E11+F11)</f>
        <v>99</v>
      </c>
      <c r="E11" s="7">
        <v>1</v>
      </c>
      <c r="F11" s="1">
        <v>0</v>
      </c>
    </row>
    <row r="12" spans="1:6" s="2" customFormat="1">
      <c r="A12" s="127"/>
      <c r="B12" s="129"/>
      <c r="C12" s="130"/>
      <c r="D12" s="13">
        <f>100-(E12+F12)</f>
        <v>98</v>
      </c>
      <c r="E12" s="7">
        <v>2</v>
      </c>
      <c r="F12" s="1">
        <v>0</v>
      </c>
    </row>
    <row r="13" spans="1:6" s="2" customFormat="1">
      <c r="A13" s="15" t="s">
        <v>39</v>
      </c>
      <c r="B13" s="22">
        <v>45624</v>
      </c>
      <c r="C13" s="15" t="s">
        <v>31</v>
      </c>
      <c r="D13" s="23">
        <v>50</v>
      </c>
      <c r="E13" s="23">
        <v>0</v>
      </c>
      <c r="F13" s="23">
        <v>0</v>
      </c>
    </row>
    <row r="14" spans="1:6" ht="30">
      <c r="A14" s="27" t="s">
        <v>42</v>
      </c>
      <c r="B14" s="28">
        <v>45667</v>
      </c>
      <c r="C14" s="27" t="s">
        <v>83</v>
      </c>
      <c r="D14" s="5">
        <f>100-(E14+F14)</f>
        <v>82</v>
      </c>
      <c r="E14" s="5">
        <v>17</v>
      </c>
      <c r="F14" s="5">
        <v>1</v>
      </c>
    </row>
    <row r="15" spans="1:6" ht="30">
      <c r="A15" s="27" t="s">
        <v>59</v>
      </c>
      <c r="B15" s="9" t="s">
        <v>85</v>
      </c>
      <c r="C15" s="10" t="s">
        <v>84</v>
      </c>
      <c r="D15" s="5">
        <f>200-(E15+F15)</f>
        <v>196</v>
      </c>
      <c r="E15" s="4">
        <v>2</v>
      </c>
      <c r="F15" s="4">
        <v>2</v>
      </c>
    </row>
    <row r="16" spans="1:6">
      <c r="A16" s="124" t="s">
        <v>45</v>
      </c>
      <c r="B16" s="18">
        <v>45636</v>
      </c>
      <c r="C16" s="4" t="s">
        <v>40</v>
      </c>
      <c r="D16" s="5">
        <f>15-(E16+F16)</f>
        <v>12</v>
      </c>
      <c r="E16" s="4">
        <v>0</v>
      </c>
      <c r="F16" s="4">
        <v>3</v>
      </c>
    </row>
    <row r="17" spans="1:6">
      <c r="A17" s="125"/>
      <c r="B17" s="18">
        <v>45675</v>
      </c>
      <c r="C17" s="4" t="s">
        <v>41</v>
      </c>
      <c r="D17" s="5">
        <f>15-(E17+F17)</f>
        <v>13</v>
      </c>
      <c r="E17" s="4">
        <v>2</v>
      </c>
      <c r="F17" s="4">
        <v>0</v>
      </c>
    </row>
    <row r="18" spans="1:6">
      <c r="A18" s="125"/>
      <c r="B18" s="24">
        <v>45677</v>
      </c>
      <c r="C18" s="7" t="s">
        <v>50</v>
      </c>
      <c r="D18" s="7">
        <v>14</v>
      </c>
      <c r="E18" s="7">
        <v>1</v>
      </c>
      <c r="F18" s="7">
        <v>0</v>
      </c>
    </row>
    <row r="19" spans="1:6" ht="30">
      <c r="A19" s="27" t="s">
        <v>87</v>
      </c>
      <c r="B19" s="29">
        <v>45692</v>
      </c>
      <c r="C19" s="27" t="s">
        <v>86</v>
      </c>
      <c r="D19" s="8"/>
      <c r="E19" s="4">
        <v>31</v>
      </c>
      <c r="F19" s="19">
        <v>3</v>
      </c>
    </row>
    <row r="20" spans="1:6" ht="30">
      <c r="A20" s="30" t="s">
        <v>89</v>
      </c>
      <c r="B20" s="26" t="s">
        <v>44</v>
      </c>
      <c r="C20" s="25" t="s">
        <v>88</v>
      </c>
      <c r="D20" s="17">
        <v>494</v>
      </c>
      <c r="E20" s="1">
        <v>6</v>
      </c>
      <c r="F20" s="1">
        <v>0</v>
      </c>
    </row>
  </sheetData>
  <mergeCells count="4">
    <mergeCell ref="A16:A18"/>
    <mergeCell ref="A11:A12"/>
    <mergeCell ref="B11:B12"/>
    <mergeCell ref="C11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>
      <pane ySplit="1" topLeftCell="A13" activePane="bottomLeft" state="frozen"/>
      <selection pane="bottomLeft" activeCell="F8" sqref="F8"/>
    </sheetView>
  </sheetViews>
  <sheetFormatPr defaultColWidth="103.42578125" defaultRowHeight="15"/>
  <cols>
    <col min="1" max="1" width="10.42578125" style="42" bestFit="1" customWidth="1"/>
    <col min="2" max="2" width="15" style="42" bestFit="1" customWidth="1"/>
    <col min="3" max="3" width="9.140625" style="42" bestFit="1" customWidth="1"/>
    <col min="4" max="5" width="14.7109375" style="42" bestFit="1" customWidth="1"/>
    <col min="6" max="6" width="48.140625" style="42" bestFit="1" customWidth="1"/>
    <col min="7" max="7" width="63.140625" style="42" customWidth="1"/>
    <col min="8" max="8" width="7.140625" style="42" bestFit="1" customWidth="1"/>
    <col min="9" max="9" width="40.140625" style="42" customWidth="1"/>
    <col min="10" max="16384" width="103.42578125" style="42"/>
  </cols>
  <sheetData>
    <row r="1" spans="1:9" ht="45">
      <c r="A1" s="39" t="s">
        <v>266</v>
      </c>
      <c r="B1" s="38" t="s">
        <v>1</v>
      </c>
      <c r="C1" s="39" t="s">
        <v>2</v>
      </c>
      <c r="D1" s="39" t="s">
        <v>123</v>
      </c>
      <c r="E1" s="39" t="s">
        <v>119</v>
      </c>
      <c r="F1" s="39" t="s">
        <v>94</v>
      </c>
      <c r="G1" s="39" t="s">
        <v>95</v>
      </c>
      <c r="H1" s="39" t="s">
        <v>133</v>
      </c>
      <c r="I1" s="64"/>
    </row>
    <row r="2" spans="1:9" ht="30">
      <c r="A2" s="69">
        <v>45534</v>
      </c>
      <c r="B2" s="69" t="s">
        <v>113</v>
      </c>
      <c r="C2" s="47">
        <v>500</v>
      </c>
      <c r="D2" s="70">
        <v>2</v>
      </c>
      <c r="E2" s="61" t="s">
        <v>159</v>
      </c>
      <c r="F2" s="61" t="s">
        <v>8</v>
      </c>
      <c r="G2" s="46" t="s">
        <v>110</v>
      </c>
      <c r="H2" s="58">
        <v>2</v>
      </c>
      <c r="I2" s="64"/>
    </row>
    <row r="3" spans="1:9" ht="30">
      <c r="A3" s="144">
        <v>45595</v>
      </c>
      <c r="B3" s="143" t="s">
        <v>114</v>
      </c>
      <c r="C3" s="131">
        <v>500</v>
      </c>
      <c r="D3" s="131">
        <v>29</v>
      </c>
      <c r="E3" s="59">
        <v>60.000826000000004</v>
      </c>
      <c r="F3" s="60" t="s">
        <v>160</v>
      </c>
      <c r="G3" s="60" t="s">
        <v>169</v>
      </c>
      <c r="H3" s="58">
        <v>4</v>
      </c>
      <c r="I3" s="64"/>
    </row>
    <row r="4" spans="1:9">
      <c r="A4" s="144"/>
      <c r="B4" s="143"/>
      <c r="C4" s="131"/>
      <c r="D4" s="131"/>
      <c r="E4" s="59">
        <v>50.000328000000003</v>
      </c>
      <c r="F4" s="37" t="s">
        <v>161</v>
      </c>
      <c r="G4" s="60" t="s">
        <v>170</v>
      </c>
      <c r="H4" s="58">
        <v>4</v>
      </c>
      <c r="I4" s="64"/>
    </row>
    <row r="5" spans="1:9">
      <c r="A5" s="144"/>
      <c r="B5" s="143"/>
      <c r="C5" s="131"/>
      <c r="D5" s="131"/>
      <c r="E5" s="61" t="s">
        <v>159</v>
      </c>
      <c r="F5" s="61" t="s">
        <v>8</v>
      </c>
      <c r="G5" s="44" t="s">
        <v>171</v>
      </c>
      <c r="H5" s="41">
        <v>1</v>
      </c>
      <c r="I5" s="64"/>
    </row>
    <row r="6" spans="1:9">
      <c r="A6" s="144"/>
      <c r="B6" s="143"/>
      <c r="C6" s="131"/>
      <c r="D6" s="131"/>
      <c r="E6" s="61" t="s">
        <v>186</v>
      </c>
      <c r="F6" s="61" t="s">
        <v>7</v>
      </c>
      <c r="G6" s="62" t="s">
        <v>172</v>
      </c>
      <c r="H6" s="58">
        <v>1</v>
      </c>
      <c r="I6" s="64"/>
    </row>
    <row r="7" spans="1:9">
      <c r="A7" s="144"/>
      <c r="B7" s="143"/>
      <c r="C7" s="131"/>
      <c r="D7" s="131"/>
      <c r="E7" s="63">
        <v>175.000077</v>
      </c>
      <c r="F7" s="62" t="s">
        <v>162</v>
      </c>
      <c r="G7" s="64" t="s">
        <v>173</v>
      </c>
      <c r="H7" s="58">
        <v>22</v>
      </c>
      <c r="I7" s="64"/>
    </row>
    <row r="8" spans="1:9">
      <c r="A8" s="144"/>
      <c r="B8" s="143"/>
      <c r="C8" s="131"/>
      <c r="D8" s="131"/>
      <c r="E8" s="65" t="s">
        <v>130</v>
      </c>
      <c r="F8" s="64" t="s">
        <v>163</v>
      </c>
      <c r="G8" s="46" t="s">
        <v>174</v>
      </c>
      <c r="H8" s="41">
        <v>2</v>
      </c>
      <c r="I8" s="64"/>
    </row>
    <row r="9" spans="1:9" ht="30">
      <c r="A9" s="144"/>
      <c r="B9" s="143"/>
      <c r="C9" s="131"/>
      <c r="D9" s="131"/>
      <c r="E9" s="65" t="s">
        <v>130</v>
      </c>
      <c r="F9" s="64" t="s">
        <v>163</v>
      </c>
      <c r="G9" s="46" t="s">
        <v>175</v>
      </c>
      <c r="H9" s="41">
        <v>3</v>
      </c>
      <c r="I9" s="64"/>
    </row>
    <row r="10" spans="1:9">
      <c r="A10" s="144"/>
      <c r="B10" s="143"/>
      <c r="C10" s="131"/>
      <c r="D10" s="131"/>
      <c r="E10" s="65" t="s">
        <v>130</v>
      </c>
      <c r="F10" s="64" t="s">
        <v>163</v>
      </c>
      <c r="G10" s="44" t="s">
        <v>176</v>
      </c>
      <c r="H10" s="41">
        <v>1</v>
      </c>
      <c r="I10" s="64"/>
    </row>
    <row r="11" spans="1:9">
      <c r="A11" s="144"/>
      <c r="B11" s="143"/>
      <c r="C11" s="131"/>
      <c r="D11" s="131"/>
      <c r="E11" s="63" t="s">
        <v>187</v>
      </c>
      <c r="F11" s="62" t="s">
        <v>164</v>
      </c>
      <c r="G11" s="64" t="s">
        <v>177</v>
      </c>
      <c r="H11" s="58">
        <v>1</v>
      </c>
      <c r="I11" s="64"/>
    </row>
    <row r="12" spans="1:9">
      <c r="A12" s="144"/>
      <c r="B12" s="143"/>
      <c r="C12" s="131"/>
      <c r="D12" s="131"/>
      <c r="E12" s="63" t="s">
        <v>188</v>
      </c>
      <c r="F12" s="62" t="s">
        <v>165</v>
      </c>
      <c r="G12" s="62" t="s">
        <v>178</v>
      </c>
      <c r="H12" s="58">
        <v>2</v>
      </c>
      <c r="I12" s="64"/>
    </row>
    <row r="13" spans="1:9" ht="15.75">
      <c r="A13" s="144"/>
      <c r="B13" s="143"/>
      <c r="C13" s="131"/>
      <c r="D13" s="131"/>
      <c r="E13" s="63">
        <v>60.000813999999998</v>
      </c>
      <c r="F13" s="62" t="s">
        <v>18</v>
      </c>
      <c r="G13" s="66" t="s">
        <v>179</v>
      </c>
      <c r="H13" s="58">
        <v>1</v>
      </c>
      <c r="I13" s="64"/>
    </row>
    <row r="14" spans="1:9" ht="30">
      <c r="A14" s="144"/>
      <c r="B14" s="143"/>
      <c r="C14" s="131"/>
      <c r="D14" s="131"/>
      <c r="E14" s="65" t="s">
        <v>189</v>
      </c>
      <c r="F14" s="44" t="s">
        <v>166</v>
      </c>
      <c r="G14" s="46" t="s">
        <v>180</v>
      </c>
      <c r="H14" s="41">
        <v>3</v>
      </c>
      <c r="I14" s="64"/>
    </row>
    <row r="15" spans="1:9">
      <c r="A15" s="144"/>
      <c r="B15" s="143"/>
      <c r="C15" s="131"/>
      <c r="D15" s="131"/>
      <c r="E15" s="65" t="s">
        <v>189</v>
      </c>
      <c r="F15" s="62" t="s">
        <v>166</v>
      </c>
      <c r="G15" s="64" t="s">
        <v>181</v>
      </c>
      <c r="H15" s="58">
        <v>1</v>
      </c>
      <c r="I15" s="64"/>
    </row>
    <row r="16" spans="1:9">
      <c r="A16" s="144"/>
      <c r="B16" s="143"/>
      <c r="C16" s="131"/>
      <c r="D16" s="131"/>
      <c r="E16" s="64" t="s">
        <v>190</v>
      </c>
      <c r="F16" s="62" t="s">
        <v>167</v>
      </c>
      <c r="G16" s="64" t="s">
        <v>182</v>
      </c>
      <c r="H16" s="58">
        <v>1</v>
      </c>
      <c r="I16" s="64"/>
    </row>
    <row r="17" spans="1:9">
      <c r="A17" s="144"/>
      <c r="B17" s="143"/>
      <c r="C17" s="131"/>
      <c r="D17" s="131"/>
      <c r="E17" s="64" t="s">
        <v>190</v>
      </c>
      <c r="F17" s="62" t="s">
        <v>167</v>
      </c>
      <c r="G17" s="64" t="s">
        <v>183</v>
      </c>
      <c r="H17" s="58">
        <v>2</v>
      </c>
      <c r="I17" s="64"/>
    </row>
    <row r="18" spans="1:9">
      <c r="A18" s="144"/>
      <c r="B18" s="143"/>
      <c r="C18" s="131"/>
      <c r="D18" s="131"/>
      <c r="E18" s="64" t="s">
        <v>190</v>
      </c>
      <c r="F18" s="62" t="s">
        <v>167</v>
      </c>
      <c r="G18" s="62" t="s">
        <v>184</v>
      </c>
      <c r="H18" s="58">
        <v>1</v>
      </c>
      <c r="I18" s="64"/>
    </row>
    <row r="19" spans="1:9">
      <c r="A19" s="144"/>
      <c r="B19" s="143"/>
      <c r="C19" s="131"/>
      <c r="D19" s="131"/>
      <c r="E19" s="64" t="s">
        <v>191</v>
      </c>
      <c r="F19" s="62" t="s">
        <v>168</v>
      </c>
      <c r="G19" s="64" t="s">
        <v>185</v>
      </c>
      <c r="H19" s="58">
        <v>1</v>
      </c>
      <c r="I19" s="64"/>
    </row>
    <row r="20" spans="1:9" ht="75">
      <c r="A20" s="140">
        <v>45657</v>
      </c>
      <c r="B20" s="137" t="s">
        <v>268</v>
      </c>
      <c r="C20" s="134">
        <v>500</v>
      </c>
      <c r="D20" s="134">
        <v>77</v>
      </c>
      <c r="E20" s="67" t="s">
        <v>144</v>
      </c>
      <c r="F20" s="67" t="s">
        <v>3</v>
      </c>
      <c r="G20" s="60" t="s">
        <v>271</v>
      </c>
      <c r="H20" s="58">
        <v>34</v>
      </c>
      <c r="I20" s="64"/>
    </row>
    <row r="21" spans="1:9" ht="75">
      <c r="A21" s="141"/>
      <c r="B21" s="138"/>
      <c r="C21" s="135"/>
      <c r="D21" s="135"/>
      <c r="E21" s="67" t="s">
        <v>191</v>
      </c>
      <c r="F21" s="62" t="s">
        <v>168</v>
      </c>
      <c r="G21" s="46" t="s">
        <v>192</v>
      </c>
      <c r="H21" s="58">
        <v>11</v>
      </c>
      <c r="I21" s="64"/>
    </row>
    <row r="22" spans="1:9" ht="105">
      <c r="A22" s="141"/>
      <c r="B22" s="138"/>
      <c r="C22" s="135"/>
      <c r="D22" s="135"/>
      <c r="E22" s="64" t="s">
        <v>140</v>
      </c>
      <c r="F22" s="67" t="s">
        <v>4</v>
      </c>
      <c r="G22" s="60" t="s">
        <v>267</v>
      </c>
      <c r="H22" s="58">
        <v>21</v>
      </c>
      <c r="I22" s="64"/>
    </row>
    <row r="23" spans="1:9" ht="30">
      <c r="A23" s="141"/>
      <c r="B23" s="138"/>
      <c r="C23" s="135"/>
      <c r="D23" s="135"/>
      <c r="E23" s="67">
        <v>13.000481000000001</v>
      </c>
      <c r="F23" s="67" t="s">
        <v>269</v>
      </c>
      <c r="G23" s="68" t="s">
        <v>272</v>
      </c>
      <c r="H23" s="58">
        <v>77</v>
      </c>
      <c r="I23" s="64"/>
    </row>
    <row r="24" spans="1:9" ht="45">
      <c r="A24" s="141"/>
      <c r="B24" s="138"/>
      <c r="C24" s="135"/>
      <c r="D24" s="135"/>
      <c r="E24" s="67" t="s">
        <v>196</v>
      </c>
      <c r="F24" s="67" t="s">
        <v>6</v>
      </c>
      <c r="G24" s="68" t="s">
        <v>193</v>
      </c>
      <c r="H24" s="58">
        <v>6</v>
      </c>
      <c r="I24" s="64"/>
    </row>
    <row r="25" spans="1:9" ht="105">
      <c r="A25" s="141"/>
      <c r="B25" s="138"/>
      <c r="C25" s="135"/>
      <c r="D25" s="135"/>
      <c r="E25" s="67" t="s">
        <v>159</v>
      </c>
      <c r="F25" s="61" t="s">
        <v>8</v>
      </c>
      <c r="G25" s="46" t="s">
        <v>194</v>
      </c>
      <c r="H25" s="58">
        <v>6</v>
      </c>
      <c r="I25" s="64"/>
    </row>
    <row r="26" spans="1:9" ht="75">
      <c r="A26" s="142"/>
      <c r="B26" s="139"/>
      <c r="C26" s="136"/>
      <c r="D26" s="136"/>
      <c r="E26" s="67" t="s">
        <v>186</v>
      </c>
      <c r="F26" s="64" t="s">
        <v>7</v>
      </c>
      <c r="G26" s="46" t="s">
        <v>195</v>
      </c>
      <c r="H26" s="58">
        <v>3</v>
      </c>
      <c r="I26" s="64"/>
    </row>
    <row r="27" spans="1:9">
      <c r="A27" s="132">
        <v>45731</v>
      </c>
      <c r="B27" s="131" t="s">
        <v>335</v>
      </c>
      <c r="C27" s="131">
        <v>500</v>
      </c>
      <c r="D27" s="131">
        <v>6</v>
      </c>
      <c r="E27" s="64" t="s">
        <v>191</v>
      </c>
      <c r="F27" s="64" t="s">
        <v>319</v>
      </c>
      <c r="G27" s="46" t="s">
        <v>352</v>
      </c>
      <c r="H27" s="58">
        <v>6</v>
      </c>
      <c r="I27" s="133" t="s">
        <v>351</v>
      </c>
    </row>
    <row r="28" spans="1:9">
      <c r="A28" s="132"/>
      <c r="B28" s="131"/>
      <c r="C28" s="131"/>
      <c r="D28" s="131"/>
      <c r="E28" s="64" t="s">
        <v>144</v>
      </c>
      <c r="F28" s="64" t="s">
        <v>3</v>
      </c>
      <c r="G28" s="46" t="s">
        <v>350</v>
      </c>
      <c r="H28" s="58">
        <v>2</v>
      </c>
      <c r="I28" s="133"/>
    </row>
    <row r="29" spans="1:9" ht="30">
      <c r="A29" s="132"/>
      <c r="B29" s="131"/>
      <c r="C29" s="131"/>
      <c r="D29" s="131"/>
      <c r="E29" s="64" t="s">
        <v>140</v>
      </c>
      <c r="F29" s="64" t="s">
        <v>4</v>
      </c>
      <c r="G29" s="46" t="s">
        <v>349</v>
      </c>
      <c r="H29" s="58">
        <v>3</v>
      </c>
      <c r="I29" s="133"/>
    </row>
    <row r="30" spans="1:9" ht="60">
      <c r="A30" s="132"/>
      <c r="B30" s="131"/>
      <c r="C30" s="131"/>
      <c r="D30" s="131"/>
      <c r="E30" s="64" t="s">
        <v>190</v>
      </c>
      <c r="F30" s="64" t="s">
        <v>348</v>
      </c>
      <c r="G30" s="46" t="s">
        <v>347</v>
      </c>
      <c r="H30" s="58">
        <v>5</v>
      </c>
      <c r="I30" s="133"/>
    </row>
    <row r="31" spans="1:9" ht="45">
      <c r="A31" s="132"/>
      <c r="B31" s="131"/>
      <c r="C31" s="131"/>
      <c r="D31" s="131"/>
      <c r="E31" s="64" t="s">
        <v>196</v>
      </c>
      <c r="F31" s="64" t="s">
        <v>346</v>
      </c>
      <c r="G31" s="46" t="s">
        <v>345</v>
      </c>
      <c r="H31" s="58">
        <v>6</v>
      </c>
      <c r="I31" s="133"/>
    </row>
    <row r="32" spans="1:9">
      <c r="A32" s="132"/>
      <c r="B32" s="131"/>
      <c r="C32" s="131"/>
      <c r="D32" s="131"/>
      <c r="E32" s="64" t="s">
        <v>186</v>
      </c>
      <c r="F32" s="64" t="s">
        <v>344</v>
      </c>
      <c r="G32" s="46" t="s">
        <v>343</v>
      </c>
      <c r="H32" s="58">
        <v>1</v>
      </c>
      <c r="I32" s="133"/>
    </row>
    <row r="33" spans="1:9">
      <c r="A33" s="132"/>
      <c r="B33" s="131"/>
      <c r="C33" s="131"/>
      <c r="D33" s="131"/>
      <c r="E33" s="64" t="s">
        <v>342</v>
      </c>
      <c r="F33" s="64" t="s">
        <v>5</v>
      </c>
      <c r="G33" s="46" t="s">
        <v>341</v>
      </c>
      <c r="H33" s="58">
        <v>1</v>
      </c>
      <c r="I33" s="133"/>
    </row>
    <row r="34" spans="1:9">
      <c r="A34" s="132"/>
      <c r="B34" s="131"/>
      <c r="C34" s="131"/>
      <c r="D34" s="131"/>
      <c r="E34" s="64" t="s">
        <v>159</v>
      </c>
      <c r="F34" s="64" t="s">
        <v>311</v>
      </c>
      <c r="G34" s="46" t="s">
        <v>340</v>
      </c>
      <c r="H34" s="58">
        <v>3</v>
      </c>
      <c r="I34" s="133"/>
    </row>
    <row r="35" spans="1:9">
      <c r="A35" s="132"/>
      <c r="B35" s="131"/>
      <c r="C35" s="131"/>
      <c r="D35" s="131"/>
      <c r="E35" s="64" t="s">
        <v>339</v>
      </c>
      <c r="F35" s="64" t="s">
        <v>338</v>
      </c>
      <c r="G35" s="46" t="s">
        <v>337</v>
      </c>
      <c r="H35" s="58">
        <v>3</v>
      </c>
      <c r="I35" s="133"/>
    </row>
  </sheetData>
  <mergeCells count="13">
    <mergeCell ref="D20:D26"/>
    <mergeCell ref="C20:C26"/>
    <mergeCell ref="B20:B26"/>
    <mergeCell ref="A20:A26"/>
    <mergeCell ref="D3:D19"/>
    <mergeCell ref="C3:C19"/>
    <mergeCell ref="B3:B19"/>
    <mergeCell ref="A3:A19"/>
    <mergeCell ref="D27:D35"/>
    <mergeCell ref="C27:C35"/>
    <mergeCell ref="B27:B35"/>
    <mergeCell ref="A27:A35"/>
    <mergeCell ref="I27:I35"/>
  </mergeCells>
  <hyperlinks>
    <hyperlink ref="I27" r:id="rId1" xr:uid="{EFC0CFD6-2D4E-4230-80BC-FE9DF5A908B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zoomScale="90" zoomScaleNormal="90" workbookViewId="0">
      <selection activeCell="D3" sqref="D3:D15"/>
    </sheetView>
  </sheetViews>
  <sheetFormatPr defaultColWidth="100.5703125" defaultRowHeight="15"/>
  <cols>
    <col min="1" max="1" width="11.42578125" style="40" bestFit="1" customWidth="1"/>
    <col min="2" max="2" width="13.140625" style="40" bestFit="1" customWidth="1"/>
    <col min="3" max="3" width="11.42578125" style="42" bestFit="1" customWidth="1"/>
    <col min="4" max="4" width="17.42578125" style="42" bestFit="1" customWidth="1"/>
    <col min="5" max="5" width="15.7109375" style="42" bestFit="1" customWidth="1"/>
    <col min="6" max="6" width="46.7109375" style="40" bestFit="1" customWidth="1"/>
    <col min="7" max="7" width="58.85546875" style="40" bestFit="1" customWidth="1"/>
    <col min="8" max="8" width="9.42578125" style="42" bestFit="1" customWidth="1"/>
    <col min="9" max="9" width="39.28515625" style="42" hidden="1" customWidth="1"/>
    <col min="10" max="10" width="33.85546875" style="42" hidden="1" customWidth="1"/>
    <col min="11" max="11" width="34.85546875" style="42" hidden="1" customWidth="1"/>
    <col min="12" max="12" width="37.28515625" style="42" customWidth="1"/>
    <col min="13" max="16384" width="100.5703125" style="42"/>
  </cols>
  <sheetData>
    <row r="1" spans="1:12" ht="45">
      <c r="A1" s="39" t="s">
        <v>266</v>
      </c>
      <c r="B1" s="39" t="s">
        <v>1</v>
      </c>
      <c r="C1" s="39" t="s">
        <v>2</v>
      </c>
      <c r="D1" s="39" t="s">
        <v>123</v>
      </c>
      <c r="E1" s="39" t="s">
        <v>119</v>
      </c>
      <c r="F1" s="81" t="s">
        <v>301</v>
      </c>
      <c r="G1" s="39" t="s">
        <v>95</v>
      </c>
      <c r="H1" s="39" t="s">
        <v>133</v>
      </c>
      <c r="I1" s="81" t="s">
        <v>302</v>
      </c>
      <c r="J1" s="80" t="s">
        <v>303</v>
      </c>
      <c r="K1" s="80" t="s">
        <v>304</v>
      </c>
      <c r="L1" s="39" t="s">
        <v>353</v>
      </c>
    </row>
    <row r="2" spans="1:12" s="92" customFormat="1">
      <c r="A2" s="91">
        <v>45534</v>
      </c>
      <c r="B2" s="87" t="s">
        <v>115</v>
      </c>
      <c r="C2" s="86">
        <v>50</v>
      </c>
      <c r="D2" s="86">
        <v>1</v>
      </c>
      <c r="E2" s="88" t="s">
        <v>197</v>
      </c>
      <c r="F2" s="88" t="s">
        <v>9</v>
      </c>
      <c r="G2" s="87" t="s">
        <v>10</v>
      </c>
      <c r="H2" s="86">
        <v>1</v>
      </c>
      <c r="I2" s="103"/>
      <c r="J2" s="103"/>
      <c r="K2" s="103"/>
      <c r="L2" s="89" t="s">
        <v>357</v>
      </c>
    </row>
    <row r="3" spans="1:12" s="92" customFormat="1">
      <c r="A3" s="148">
        <v>45608</v>
      </c>
      <c r="B3" s="149" t="s">
        <v>116</v>
      </c>
      <c r="C3" s="150">
        <v>100</v>
      </c>
      <c r="D3" s="150">
        <v>7</v>
      </c>
      <c r="E3" s="90" t="s">
        <v>144</v>
      </c>
      <c r="F3" s="87" t="s">
        <v>3</v>
      </c>
      <c r="G3" s="87" t="s">
        <v>112</v>
      </c>
      <c r="H3" s="86">
        <v>27</v>
      </c>
      <c r="I3" s="103"/>
      <c r="J3" s="103"/>
      <c r="K3" s="103"/>
      <c r="L3" s="89" t="s">
        <v>358</v>
      </c>
    </row>
    <row r="4" spans="1:12" s="92" customFormat="1">
      <c r="A4" s="148"/>
      <c r="B4" s="149"/>
      <c r="C4" s="150"/>
      <c r="D4" s="150"/>
      <c r="E4" s="90" t="s">
        <v>138</v>
      </c>
      <c r="F4" s="87" t="s">
        <v>11</v>
      </c>
      <c r="G4" s="87" t="s">
        <v>26</v>
      </c>
      <c r="H4" s="86">
        <v>2</v>
      </c>
      <c r="I4" s="103"/>
      <c r="J4" s="103"/>
      <c r="K4" s="103"/>
      <c r="L4" s="89" t="s">
        <v>359</v>
      </c>
    </row>
    <row r="5" spans="1:12" s="92" customFormat="1">
      <c r="A5" s="148"/>
      <c r="B5" s="149"/>
      <c r="C5" s="150"/>
      <c r="D5" s="150"/>
      <c r="E5" s="90">
        <v>60.000826000000004</v>
      </c>
      <c r="F5" s="87" t="s">
        <v>27</v>
      </c>
      <c r="G5" s="87" t="s">
        <v>28</v>
      </c>
      <c r="H5" s="86">
        <v>7</v>
      </c>
      <c r="I5" s="103"/>
      <c r="J5" s="103"/>
      <c r="K5" s="103"/>
      <c r="L5" s="89" t="s">
        <v>359</v>
      </c>
    </row>
    <row r="6" spans="1:12" s="92" customFormat="1">
      <c r="A6" s="148"/>
      <c r="B6" s="149"/>
      <c r="C6" s="150"/>
      <c r="D6" s="150"/>
      <c r="E6" s="90" t="s">
        <v>143</v>
      </c>
      <c r="F6" s="87" t="s">
        <v>29</v>
      </c>
      <c r="G6" s="87" t="s">
        <v>30</v>
      </c>
      <c r="H6" s="86">
        <v>1</v>
      </c>
      <c r="I6" s="103"/>
      <c r="J6" s="103"/>
      <c r="K6" s="103"/>
      <c r="L6" s="89" t="s">
        <v>357</v>
      </c>
    </row>
    <row r="7" spans="1:12" s="92" customFormat="1" ht="31.5">
      <c r="A7" s="148"/>
      <c r="B7" s="149"/>
      <c r="C7" s="150"/>
      <c r="D7" s="150"/>
      <c r="E7" s="87" t="s">
        <v>141</v>
      </c>
      <c r="F7" s="87" t="s">
        <v>27</v>
      </c>
      <c r="G7" s="93" t="s">
        <v>204</v>
      </c>
      <c r="H7" s="94">
        <v>2</v>
      </c>
      <c r="I7" s="103"/>
      <c r="J7" s="103"/>
      <c r="K7" s="103"/>
      <c r="L7" s="89" t="s">
        <v>359</v>
      </c>
    </row>
    <row r="8" spans="1:12" s="92" customFormat="1" ht="15.75">
      <c r="A8" s="148"/>
      <c r="B8" s="149"/>
      <c r="C8" s="150"/>
      <c r="D8" s="150"/>
      <c r="E8" s="89" t="s">
        <v>198</v>
      </c>
      <c r="F8" s="89" t="s">
        <v>12</v>
      </c>
      <c r="G8" s="95" t="s">
        <v>205</v>
      </c>
      <c r="H8" s="86">
        <v>1</v>
      </c>
      <c r="I8" s="103"/>
      <c r="J8" s="103"/>
      <c r="K8" s="103"/>
      <c r="L8" s="89" t="s">
        <v>358</v>
      </c>
    </row>
    <row r="9" spans="1:12" s="92" customFormat="1" ht="30">
      <c r="A9" s="148"/>
      <c r="B9" s="149"/>
      <c r="C9" s="150"/>
      <c r="D9" s="150"/>
      <c r="E9" s="96" t="s">
        <v>130</v>
      </c>
      <c r="F9" s="89" t="s">
        <v>163</v>
      </c>
      <c r="G9" s="87" t="s">
        <v>206</v>
      </c>
      <c r="H9" s="94">
        <v>6</v>
      </c>
      <c r="I9" s="103"/>
      <c r="J9" s="103"/>
      <c r="K9" s="103"/>
      <c r="L9" s="89" t="s">
        <v>358</v>
      </c>
    </row>
    <row r="10" spans="1:12" s="92" customFormat="1" ht="30">
      <c r="A10" s="148"/>
      <c r="B10" s="149"/>
      <c r="C10" s="150"/>
      <c r="D10" s="150"/>
      <c r="E10" s="96" t="s">
        <v>130</v>
      </c>
      <c r="F10" s="89" t="s">
        <v>163</v>
      </c>
      <c r="G10" s="87" t="s">
        <v>207</v>
      </c>
      <c r="H10" s="94">
        <v>1</v>
      </c>
      <c r="I10" s="103"/>
      <c r="J10" s="103"/>
      <c r="K10" s="103"/>
      <c r="L10" s="89" t="s">
        <v>358</v>
      </c>
    </row>
    <row r="11" spans="1:12" s="92" customFormat="1">
      <c r="A11" s="148"/>
      <c r="B11" s="149"/>
      <c r="C11" s="150"/>
      <c r="D11" s="150"/>
      <c r="E11" s="89" t="s">
        <v>189</v>
      </c>
      <c r="F11" s="87" t="s">
        <v>166</v>
      </c>
      <c r="G11" s="87" t="s">
        <v>208</v>
      </c>
      <c r="H11" s="94">
        <v>2</v>
      </c>
      <c r="I11" s="103"/>
      <c r="J11" s="103"/>
      <c r="K11" s="103"/>
      <c r="L11" s="89" t="s">
        <v>358</v>
      </c>
    </row>
    <row r="12" spans="1:12" s="92" customFormat="1">
      <c r="A12" s="148"/>
      <c r="B12" s="149"/>
      <c r="C12" s="150"/>
      <c r="D12" s="150"/>
      <c r="E12" s="89" t="s">
        <v>189</v>
      </c>
      <c r="F12" s="89" t="s">
        <v>166</v>
      </c>
      <c r="G12" s="89" t="s">
        <v>209</v>
      </c>
      <c r="H12" s="86">
        <v>1</v>
      </c>
      <c r="I12" s="103"/>
      <c r="J12" s="103"/>
      <c r="K12" s="103"/>
      <c r="L12" s="104" t="s">
        <v>360</v>
      </c>
    </row>
    <row r="13" spans="1:12" s="92" customFormat="1">
      <c r="A13" s="148"/>
      <c r="B13" s="149"/>
      <c r="C13" s="150"/>
      <c r="D13" s="150"/>
      <c r="E13" s="90" t="s">
        <v>199</v>
      </c>
      <c r="F13" s="89" t="s">
        <v>201</v>
      </c>
      <c r="G13" s="89" t="s">
        <v>210</v>
      </c>
      <c r="H13" s="86">
        <v>1</v>
      </c>
      <c r="I13" s="103"/>
      <c r="J13" s="103"/>
      <c r="K13" s="103"/>
      <c r="L13" s="89" t="s">
        <v>358</v>
      </c>
    </row>
    <row r="14" spans="1:12" s="92" customFormat="1">
      <c r="A14" s="148"/>
      <c r="B14" s="149"/>
      <c r="C14" s="150"/>
      <c r="D14" s="150"/>
      <c r="E14" s="90" t="s">
        <v>200</v>
      </c>
      <c r="F14" s="90" t="s">
        <v>202</v>
      </c>
      <c r="G14" s="89" t="s">
        <v>211</v>
      </c>
      <c r="H14" s="86">
        <v>1</v>
      </c>
      <c r="I14" s="103"/>
      <c r="J14" s="103"/>
      <c r="K14" s="103"/>
      <c r="L14" s="89" t="s">
        <v>358</v>
      </c>
    </row>
    <row r="15" spans="1:12" s="92" customFormat="1">
      <c r="A15" s="148"/>
      <c r="B15" s="149"/>
      <c r="C15" s="150"/>
      <c r="D15" s="150"/>
      <c r="E15" s="89">
        <v>60.000802</v>
      </c>
      <c r="F15" s="89" t="s">
        <v>203</v>
      </c>
      <c r="G15" s="89" t="s">
        <v>212</v>
      </c>
      <c r="H15" s="86">
        <v>1</v>
      </c>
      <c r="I15" s="103"/>
      <c r="J15" s="103"/>
      <c r="K15" s="103"/>
      <c r="L15" s="89" t="s">
        <v>358</v>
      </c>
    </row>
    <row r="16" spans="1:12">
      <c r="A16" s="151">
        <v>45721</v>
      </c>
      <c r="B16" s="152" t="s">
        <v>305</v>
      </c>
      <c r="C16" s="147">
        <v>250</v>
      </c>
      <c r="D16" s="147">
        <v>9</v>
      </c>
      <c r="E16" s="82" t="s">
        <v>198</v>
      </c>
      <c r="F16" s="83" t="s">
        <v>12</v>
      </c>
      <c r="G16" s="82" t="s">
        <v>321</v>
      </c>
      <c r="H16" s="84">
        <v>2</v>
      </c>
      <c r="I16" s="82" t="s">
        <v>306</v>
      </c>
      <c r="J16" s="82" t="s">
        <v>307</v>
      </c>
      <c r="K16" s="145" t="s">
        <v>308</v>
      </c>
      <c r="L16" s="64"/>
    </row>
    <row r="17" spans="1:12">
      <c r="A17" s="151"/>
      <c r="B17" s="152"/>
      <c r="C17" s="147"/>
      <c r="D17" s="147"/>
      <c r="E17" s="82" t="s">
        <v>199</v>
      </c>
      <c r="F17" s="83" t="s">
        <v>201</v>
      </c>
      <c r="G17" s="82" t="s">
        <v>322</v>
      </c>
      <c r="H17" s="84">
        <v>1</v>
      </c>
      <c r="I17" s="82" t="s">
        <v>309</v>
      </c>
      <c r="J17" s="82" t="s">
        <v>310</v>
      </c>
      <c r="K17" s="146"/>
      <c r="L17" s="64"/>
    </row>
    <row r="18" spans="1:12">
      <c r="A18" s="151"/>
      <c r="B18" s="152"/>
      <c r="C18" s="147"/>
      <c r="D18" s="147"/>
      <c r="E18" s="82" t="s">
        <v>197</v>
      </c>
      <c r="F18" s="83" t="s">
        <v>311</v>
      </c>
      <c r="G18" s="82" t="s">
        <v>323</v>
      </c>
      <c r="H18" s="84">
        <v>1</v>
      </c>
      <c r="I18" s="82" t="s">
        <v>312</v>
      </c>
      <c r="J18" s="82" t="s">
        <v>313</v>
      </c>
      <c r="K18" s="146"/>
      <c r="L18" s="64"/>
    </row>
    <row r="19" spans="1:12" ht="75">
      <c r="A19" s="151"/>
      <c r="B19" s="152"/>
      <c r="C19" s="147"/>
      <c r="D19" s="147"/>
      <c r="E19" s="82" t="s">
        <v>314</v>
      </c>
      <c r="F19" s="83" t="s">
        <v>167</v>
      </c>
      <c r="G19" s="83" t="s">
        <v>324</v>
      </c>
      <c r="H19" s="84">
        <v>8</v>
      </c>
      <c r="I19" s="83" t="s">
        <v>315</v>
      </c>
      <c r="J19" s="82"/>
      <c r="K19" s="146"/>
      <c r="L19" s="64"/>
    </row>
    <row r="20" spans="1:12" ht="75">
      <c r="A20" s="151"/>
      <c r="B20" s="152"/>
      <c r="C20" s="147"/>
      <c r="D20" s="147"/>
      <c r="E20" s="82" t="s">
        <v>140</v>
      </c>
      <c r="F20" s="83" t="s">
        <v>4</v>
      </c>
      <c r="G20" s="83" t="s">
        <v>325</v>
      </c>
      <c r="H20" s="84">
        <v>9</v>
      </c>
      <c r="I20" s="83" t="s">
        <v>316</v>
      </c>
      <c r="J20" s="83" t="s">
        <v>317</v>
      </c>
      <c r="K20" s="146"/>
      <c r="L20" s="64"/>
    </row>
    <row r="21" spans="1:12" ht="60">
      <c r="A21" s="151"/>
      <c r="B21" s="152"/>
      <c r="C21" s="147"/>
      <c r="D21" s="147"/>
      <c r="E21" s="82" t="s">
        <v>144</v>
      </c>
      <c r="F21" s="83" t="s">
        <v>3</v>
      </c>
      <c r="G21" s="83" t="s">
        <v>326</v>
      </c>
      <c r="H21" s="84">
        <v>6</v>
      </c>
      <c r="I21" s="83" t="s">
        <v>318</v>
      </c>
      <c r="J21" s="82"/>
      <c r="K21" s="146"/>
      <c r="L21" s="64"/>
    </row>
    <row r="22" spans="1:12" ht="45">
      <c r="A22" s="151"/>
      <c r="B22" s="152"/>
      <c r="C22" s="147"/>
      <c r="D22" s="147"/>
      <c r="E22" s="82" t="s">
        <v>138</v>
      </c>
      <c r="F22" s="83" t="s">
        <v>319</v>
      </c>
      <c r="G22" s="83" t="s">
        <v>327</v>
      </c>
      <c r="H22" s="84">
        <v>3</v>
      </c>
      <c r="I22" s="83" t="s">
        <v>320</v>
      </c>
      <c r="J22" s="82"/>
      <c r="K22" s="146"/>
      <c r="L22" s="64"/>
    </row>
  </sheetData>
  <autoFilter ref="A1:H15" xr:uid="{00000000-0001-0000-0300-000000000000}"/>
  <mergeCells count="9">
    <mergeCell ref="K16:K22"/>
    <mergeCell ref="D16:D22"/>
    <mergeCell ref="C16:C22"/>
    <mergeCell ref="A3:A15"/>
    <mergeCell ref="B3:B15"/>
    <mergeCell ref="C3:C15"/>
    <mergeCell ref="D3:D15"/>
    <mergeCell ref="A16:A22"/>
    <mergeCell ref="B16:B22"/>
  </mergeCells>
  <hyperlinks>
    <hyperlink ref="K16" r:id="rId1" xr:uid="{9148FD15-4A5F-470E-8A47-0084ECC688A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"/>
  <sheetViews>
    <sheetView tabSelected="1" workbookViewId="0">
      <selection sqref="A1:J14"/>
    </sheetView>
  </sheetViews>
  <sheetFormatPr defaultColWidth="103.42578125" defaultRowHeight="15"/>
  <cols>
    <col min="1" max="1" width="11.5703125" style="42" bestFit="1" customWidth="1"/>
    <col min="2" max="2" width="13.7109375" style="40" bestFit="1" customWidth="1"/>
    <col min="3" max="3" width="12.7109375" style="42" bestFit="1" customWidth="1"/>
    <col min="4" max="4" width="15.140625" style="42" bestFit="1" customWidth="1"/>
    <col min="5" max="5" width="12" style="71" bestFit="1" customWidth="1"/>
    <col min="6" max="6" width="44" style="40" bestFit="1" customWidth="1"/>
    <col min="7" max="7" width="63" style="42" bestFit="1" customWidth="1"/>
    <col min="8" max="8" width="7.140625" style="42" bestFit="1" customWidth="1"/>
    <col min="9" max="9" width="25.5703125" style="42" bestFit="1" customWidth="1"/>
    <col min="10" max="10" width="15.7109375" style="42" bestFit="1" customWidth="1"/>
    <col min="11" max="11" width="66" style="42" bestFit="1" customWidth="1"/>
    <col min="12" max="16384" width="103.42578125" style="42"/>
  </cols>
  <sheetData>
    <row r="1" spans="1:10" ht="45">
      <c r="A1" s="39" t="s">
        <v>266</v>
      </c>
      <c r="B1" s="39" t="s">
        <v>1</v>
      </c>
      <c r="C1" s="39" t="s">
        <v>2</v>
      </c>
      <c r="D1" s="39" t="s">
        <v>123</v>
      </c>
      <c r="E1" s="39" t="s">
        <v>119</v>
      </c>
      <c r="F1" s="39" t="s">
        <v>94</v>
      </c>
      <c r="G1" s="39" t="s">
        <v>95</v>
      </c>
      <c r="H1" s="107" t="s">
        <v>133</v>
      </c>
      <c r="I1" s="80" t="s">
        <v>303</v>
      </c>
      <c r="J1" s="81" t="s">
        <v>385</v>
      </c>
    </row>
    <row r="2" spans="1:10" ht="30">
      <c r="A2" s="154">
        <v>45667</v>
      </c>
      <c r="B2" s="143" t="s">
        <v>117</v>
      </c>
      <c r="C2" s="153">
        <v>200</v>
      </c>
      <c r="D2" s="153">
        <v>10</v>
      </c>
      <c r="E2" s="64" t="s">
        <v>140</v>
      </c>
      <c r="F2" s="60" t="s">
        <v>4</v>
      </c>
      <c r="G2" s="60" t="s">
        <v>60</v>
      </c>
      <c r="H2" s="58">
        <v>4</v>
      </c>
      <c r="I2" s="64"/>
      <c r="J2" s="64"/>
    </row>
    <row r="3" spans="1:10" ht="45">
      <c r="A3" s="154"/>
      <c r="B3" s="143"/>
      <c r="C3" s="153"/>
      <c r="D3" s="153"/>
      <c r="E3" s="64" t="s">
        <v>141</v>
      </c>
      <c r="F3" s="60" t="s">
        <v>27</v>
      </c>
      <c r="G3" s="60" t="s">
        <v>61</v>
      </c>
      <c r="H3" s="58">
        <v>8</v>
      </c>
      <c r="I3" s="64"/>
      <c r="J3" s="64"/>
    </row>
    <row r="4" spans="1:10" ht="30">
      <c r="A4" s="154"/>
      <c r="B4" s="143"/>
      <c r="C4" s="153"/>
      <c r="D4" s="153"/>
      <c r="E4" s="64" t="s">
        <v>142</v>
      </c>
      <c r="F4" s="60" t="s">
        <v>13</v>
      </c>
      <c r="G4" s="60" t="s">
        <v>139</v>
      </c>
      <c r="H4" s="58">
        <v>4</v>
      </c>
      <c r="I4" s="64"/>
      <c r="J4" s="64"/>
    </row>
    <row r="5" spans="1:10" ht="30">
      <c r="A5" s="154"/>
      <c r="B5" s="143"/>
      <c r="C5" s="153"/>
      <c r="D5" s="153"/>
      <c r="E5" s="64" t="s">
        <v>143</v>
      </c>
      <c r="F5" s="60" t="s">
        <v>29</v>
      </c>
      <c r="G5" s="60" t="s">
        <v>273</v>
      </c>
      <c r="H5" s="58">
        <v>2</v>
      </c>
      <c r="I5" s="64"/>
      <c r="J5" s="64"/>
    </row>
    <row r="6" spans="1:10" ht="30">
      <c r="A6" s="154"/>
      <c r="B6" s="143"/>
      <c r="C6" s="153"/>
      <c r="D6" s="153"/>
      <c r="E6" s="64" t="s">
        <v>144</v>
      </c>
      <c r="F6" s="60" t="s">
        <v>3</v>
      </c>
      <c r="G6" s="60" t="s">
        <v>274</v>
      </c>
      <c r="H6" s="58">
        <v>10</v>
      </c>
      <c r="I6" s="64"/>
      <c r="J6" s="64"/>
    </row>
    <row r="7" spans="1:10">
      <c r="A7" s="154"/>
      <c r="B7" s="143"/>
      <c r="C7" s="153"/>
      <c r="D7" s="153"/>
      <c r="E7" s="64" t="s">
        <v>138</v>
      </c>
      <c r="F7" s="60" t="s">
        <v>11</v>
      </c>
      <c r="G7" s="60" t="s">
        <v>275</v>
      </c>
      <c r="H7" s="58">
        <v>10</v>
      </c>
      <c r="I7" s="64"/>
      <c r="J7" s="64"/>
    </row>
    <row r="8" spans="1:10" ht="75">
      <c r="A8" s="185">
        <v>45741</v>
      </c>
      <c r="B8" s="184" t="s">
        <v>372</v>
      </c>
      <c r="C8" s="186">
        <v>250</v>
      </c>
      <c r="D8" s="186">
        <v>6</v>
      </c>
      <c r="E8" s="183" t="s">
        <v>191</v>
      </c>
      <c r="F8" s="183" t="s">
        <v>319</v>
      </c>
      <c r="G8" s="180" t="s">
        <v>384</v>
      </c>
      <c r="H8" s="181">
        <v>1</v>
      </c>
      <c r="I8" s="182"/>
      <c r="J8" s="110" t="s">
        <v>383</v>
      </c>
    </row>
    <row r="9" spans="1:10" ht="30">
      <c r="A9" s="185"/>
      <c r="B9" s="184"/>
      <c r="C9" s="186"/>
      <c r="D9" s="186"/>
      <c r="E9" s="183" t="s">
        <v>144</v>
      </c>
      <c r="F9" s="183" t="s">
        <v>3</v>
      </c>
      <c r="G9" s="180" t="s">
        <v>382</v>
      </c>
      <c r="H9" s="181">
        <v>5</v>
      </c>
      <c r="I9" s="182"/>
      <c r="J9" s="110"/>
    </row>
    <row r="10" spans="1:10" ht="30">
      <c r="A10" s="185">
        <v>45743</v>
      </c>
      <c r="B10" s="184"/>
      <c r="C10" s="186"/>
      <c r="D10" s="186"/>
      <c r="E10" s="183" t="s">
        <v>140</v>
      </c>
      <c r="F10" s="183" t="s">
        <v>4</v>
      </c>
      <c r="G10" s="180" t="s">
        <v>381</v>
      </c>
      <c r="H10" s="181">
        <v>1</v>
      </c>
      <c r="I10" s="182" t="s">
        <v>380</v>
      </c>
      <c r="J10" s="110"/>
    </row>
    <row r="11" spans="1:10" ht="45">
      <c r="A11" s="185"/>
      <c r="B11" s="184"/>
      <c r="C11" s="186"/>
      <c r="D11" s="186"/>
      <c r="E11" s="183" t="s">
        <v>141</v>
      </c>
      <c r="F11" s="183" t="s">
        <v>27</v>
      </c>
      <c r="G11" s="180" t="s">
        <v>379</v>
      </c>
      <c r="H11" s="181">
        <v>5</v>
      </c>
      <c r="I11" s="182"/>
      <c r="J11" s="110"/>
    </row>
    <row r="12" spans="1:10" ht="60">
      <c r="A12" s="185"/>
      <c r="B12" s="184"/>
      <c r="C12" s="186"/>
      <c r="D12" s="186"/>
      <c r="E12" s="183" t="s">
        <v>142</v>
      </c>
      <c r="F12" s="183" t="s">
        <v>13</v>
      </c>
      <c r="G12" s="180" t="s">
        <v>378</v>
      </c>
      <c r="H12" s="181">
        <v>6</v>
      </c>
      <c r="I12" s="182"/>
      <c r="J12" s="110"/>
    </row>
    <row r="13" spans="1:10">
      <c r="A13" s="185"/>
      <c r="B13" s="184"/>
      <c r="C13" s="186"/>
      <c r="D13" s="186"/>
      <c r="E13" s="183" t="s">
        <v>342</v>
      </c>
      <c r="F13" s="183" t="s">
        <v>377</v>
      </c>
      <c r="G13" s="180" t="s">
        <v>376</v>
      </c>
      <c r="H13" s="181">
        <v>1</v>
      </c>
      <c r="I13" s="182" t="s">
        <v>375</v>
      </c>
      <c r="J13" s="110"/>
    </row>
    <row r="14" spans="1:10">
      <c r="A14" s="8"/>
      <c r="B14" s="8"/>
      <c r="C14" s="186"/>
      <c r="D14" s="186"/>
      <c r="E14" s="8" t="s">
        <v>143</v>
      </c>
      <c r="F14" s="8" t="s">
        <v>29</v>
      </c>
      <c r="G14" s="180" t="s">
        <v>374</v>
      </c>
      <c r="H14" s="181">
        <v>1</v>
      </c>
      <c r="I14" s="5" t="s">
        <v>373</v>
      </c>
      <c r="J14" s="110"/>
    </row>
  </sheetData>
  <mergeCells count="9">
    <mergeCell ref="A10:A13"/>
    <mergeCell ref="C8:C14"/>
    <mergeCell ref="D8:D14"/>
    <mergeCell ref="C2:C7"/>
    <mergeCell ref="B2:B7"/>
    <mergeCell ref="A2:A7"/>
    <mergeCell ref="D2:D7"/>
    <mergeCell ref="A8:A9"/>
    <mergeCell ref="B8:B13"/>
  </mergeCells>
  <hyperlinks>
    <hyperlink ref="J8" r:id="rId1" xr:uid="{11FBADBD-662A-4D7E-A545-911FE8F01F31}"/>
    <hyperlink ref="K8:K14" r:id="rId2" display="https://drive.google.com/drive/folders/1tBpl7vX40VPHR7phk7J9pX6wQLj21FQ6" xr:uid="{0E19D586-DE5B-470F-BCB5-886F9953FFE8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activeCell="E14" sqref="E14"/>
    </sheetView>
  </sheetViews>
  <sheetFormatPr defaultColWidth="8.85546875" defaultRowHeight="15"/>
  <cols>
    <col min="1" max="1" width="14.28515625" style="14" bestFit="1" customWidth="1"/>
    <col min="2" max="2" width="14.85546875" style="14" bestFit="1" customWidth="1"/>
    <col min="3" max="3" width="9.42578125" style="14" bestFit="1" customWidth="1"/>
    <col min="4" max="4" width="20.140625" style="14" bestFit="1" customWidth="1"/>
    <col min="5" max="5" width="10.7109375" style="14" bestFit="1" customWidth="1"/>
    <col min="6" max="6" width="45.5703125" style="14" customWidth="1"/>
    <col min="7" max="7" width="54.85546875" style="14" customWidth="1"/>
    <col min="8" max="8" width="7.140625" style="31" bestFit="1" customWidth="1"/>
    <col min="9" max="9" width="23.7109375" style="14" customWidth="1"/>
    <col min="10" max="16384" width="8.85546875" style="14"/>
  </cols>
  <sheetData>
    <row r="1" spans="1:9" ht="30">
      <c r="A1" s="21" t="s">
        <v>266</v>
      </c>
      <c r="B1" s="20" t="s">
        <v>1</v>
      </c>
      <c r="C1" s="21" t="s">
        <v>2</v>
      </c>
      <c r="D1" s="21" t="s">
        <v>123</v>
      </c>
      <c r="E1" s="21" t="s">
        <v>119</v>
      </c>
      <c r="F1" s="21" t="s">
        <v>94</v>
      </c>
      <c r="G1" s="21" t="s">
        <v>95</v>
      </c>
      <c r="H1" s="32" t="s">
        <v>133</v>
      </c>
      <c r="I1" s="32" t="s">
        <v>353</v>
      </c>
    </row>
    <row r="2" spans="1:9" s="99" customFormat="1" ht="30">
      <c r="A2" s="157">
        <v>45636</v>
      </c>
      <c r="B2" s="156" t="s">
        <v>117</v>
      </c>
      <c r="C2" s="155">
        <v>15</v>
      </c>
      <c r="D2" s="159">
        <v>3</v>
      </c>
      <c r="E2" s="98" t="s">
        <v>137</v>
      </c>
      <c r="F2" s="19" t="s">
        <v>46</v>
      </c>
      <c r="G2" s="19" t="s">
        <v>47</v>
      </c>
      <c r="H2" s="97">
        <v>3</v>
      </c>
      <c r="I2" s="101" t="s">
        <v>361</v>
      </c>
    </row>
    <row r="3" spans="1:9" s="99" customFormat="1">
      <c r="A3" s="158"/>
      <c r="B3" s="156"/>
      <c r="C3" s="155"/>
      <c r="D3" s="160"/>
      <c r="E3" s="98">
        <v>4050</v>
      </c>
      <c r="F3" s="19" t="s">
        <v>51</v>
      </c>
      <c r="G3" s="19" t="s">
        <v>52</v>
      </c>
      <c r="H3" s="97">
        <v>1</v>
      </c>
      <c r="I3" s="98" t="s">
        <v>359</v>
      </c>
    </row>
    <row r="4" spans="1:9" s="99" customFormat="1">
      <c r="A4" s="158"/>
      <c r="B4" s="156"/>
      <c r="C4" s="155"/>
      <c r="D4" s="161"/>
      <c r="E4" s="98" t="s">
        <v>138</v>
      </c>
      <c r="F4" s="19" t="s">
        <v>48</v>
      </c>
      <c r="G4" s="19" t="s">
        <v>49</v>
      </c>
      <c r="H4" s="97">
        <v>2</v>
      </c>
      <c r="I4" s="98" t="s">
        <v>359</v>
      </c>
    </row>
  </sheetData>
  <mergeCells count="4">
    <mergeCell ref="C2:C4"/>
    <mergeCell ref="B2:B4"/>
    <mergeCell ref="A2:A4"/>
    <mergeCell ref="D2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"/>
  <sheetViews>
    <sheetView topLeftCell="A7" workbookViewId="0">
      <selection activeCell="A2" sqref="A2:A6"/>
    </sheetView>
  </sheetViews>
  <sheetFormatPr defaultColWidth="9.140625" defaultRowHeight="15"/>
  <cols>
    <col min="1" max="1" width="10.42578125" style="14" bestFit="1" customWidth="1"/>
    <col min="2" max="2" width="12.140625" style="14" bestFit="1" customWidth="1"/>
    <col min="3" max="3" width="9.42578125" style="14" bestFit="1" customWidth="1"/>
    <col min="4" max="4" width="23" style="14" bestFit="1" customWidth="1"/>
    <col min="5" max="5" width="10" style="14" bestFit="1" customWidth="1"/>
    <col min="6" max="6" width="29.85546875" style="2" bestFit="1" customWidth="1"/>
    <col min="7" max="7" width="31.28515625" style="14" bestFit="1" customWidth="1"/>
    <col min="8" max="8" width="7.140625" style="31" bestFit="1" customWidth="1"/>
    <col min="9" max="9" width="29.7109375" style="31" bestFit="1" customWidth="1"/>
    <col min="10" max="10" width="29.85546875" style="31" bestFit="1" customWidth="1"/>
    <col min="11" max="11" width="31.28515625" style="14" bestFit="1" customWidth="1"/>
    <col min="12" max="12" width="30" style="14" customWidth="1"/>
    <col min="13" max="16384" width="9.140625" style="14"/>
  </cols>
  <sheetData>
    <row r="1" spans="1:12" ht="30">
      <c r="A1" s="21" t="s">
        <v>266</v>
      </c>
      <c r="B1" s="21" t="s">
        <v>124</v>
      </c>
      <c r="C1" s="21" t="s">
        <v>2</v>
      </c>
      <c r="D1" s="21" t="s">
        <v>123</v>
      </c>
      <c r="E1" s="21" t="s">
        <v>119</v>
      </c>
      <c r="F1" s="21" t="s">
        <v>121</v>
      </c>
      <c r="G1" s="21" t="s">
        <v>120</v>
      </c>
      <c r="H1" s="32" t="s">
        <v>118</v>
      </c>
      <c r="I1" s="32" t="s">
        <v>295</v>
      </c>
      <c r="J1" s="80" t="s">
        <v>303</v>
      </c>
      <c r="K1" s="32" t="s">
        <v>294</v>
      </c>
      <c r="L1" s="32" t="s">
        <v>353</v>
      </c>
    </row>
    <row r="2" spans="1:12">
      <c r="A2" s="169">
        <v>45602</v>
      </c>
      <c r="B2" s="162" t="s">
        <v>122</v>
      </c>
      <c r="C2" s="164">
        <v>50</v>
      </c>
      <c r="D2" s="163">
        <v>2</v>
      </c>
      <c r="E2" s="8">
        <v>60.000548000000002</v>
      </c>
      <c r="F2" s="7" t="s">
        <v>96</v>
      </c>
      <c r="G2" s="7" t="s">
        <v>265</v>
      </c>
      <c r="H2" s="6">
        <v>1</v>
      </c>
      <c r="I2" s="6"/>
      <c r="J2" s="6"/>
      <c r="K2" s="164"/>
      <c r="L2" s="162" t="s">
        <v>354</v>
      </c>
    </row>
    <row r="3" spans="1:12">
      <c r="A3" s="169"/>
      <c r="B3" s="162"/>
      <c r="C3" s="164"/>
      <c r="D3" s="163"/>
      <c r="E3" s="8">
        <v>60.000548999999999</v>
      </c>
      <c r="F3" s="7" t="s">
        <v>97</v>
      </c>
      <c r="G3" s="7" t="s">
        <v>126</v>
      </c>
      <c r="H3" s="6">
        <v>1</v>
      </c>
      <c r="I3" s="6"/>
      <c r="J3" s="6"/>
      <c r="K3" s="164"/>
      <c r="L3" s="162"/>
    </row>
    <row r="4" spans="1:12">
      <c r="A4" s="169"/>
      <c r="B4" s="162"/>
      <c r="C4" s="164"/>
      <c r="D4" s="163"/>
      <c r="E4" s="8">
        <v>60.000855000000001</v>
      </c>
      <c r="F4" s="7" t="s">
        <v>98</v>
      </c>
      <c r="G4" s="7" t="s">
        <v>125</v>
      </c>
      <c r="H4" s="6">
        <v>2</v>
      </c>
      <c r="I4" s="6"/>
      <c r="J4" s="6"/>
      <c r="K4" s="164"/>
      <c r="L4" s="162"/>
    </row>
    <row r="5" spans="1:12">
      <c r="A5" s="169"/>
      <c r="B5" s="162"/>
      <c r="C5" s="164"/>
      <c r="D5" s="163"/>
      <c r="E5" s="8">
        <v>60.000508000000004</v>
      </c>
      <c r="F5" s="7" t="s">
        <v>127</v>
      </c>
      <c r="G5" s="8" t="s">
        <v>128</v>
      </c>
      <c r="H5" s="33">
        <v>1</v>
      </c>
      <c r="I5" s="33"/>
      <c r="J5" s="33"/>
      <c r="K5" s="164"/>
      <c r="L5" s="162"/>
    </row>
    <row r="6" spans="1:12">
      <c r="A6" s="169"/>
      <c r="B6" s="162"/>
      <c r="C6" s="164"/>
      <c r="D6" s="163"/>
      <c r="E6" s="35">
        <v>60.000514000000003</v>
      </c>
      <c r="F6" s="7" t="s">
        <v>99</v>
      </c>
      <c r="G6" s="17" t="s">
        <v>129</v>
      </c>
      <c r="H6" s="33">
        <v>1</v>
      </c>
      <c r="I6" s="33"/>
      <c r="J6" s="33"/>
      <c r="K6" s="164"/>
      <c r="L6" s="162"/>
    </row>
    <row r="7" spans="1:12" ht="120">
      <c r="A7" s="166">
        <v>45713</v>
      </c>
      <c r="B7" s="170" t="s">
        <v>285</v>
      </c>
      <c r="C7" s="167">
        <v>100</v>
      </c>
      <c r="D7" s="168">
        <v>15</v>
      </c>
      <c r="E7" s="8">
        <v>60.000548000000002</v>
      </c>
      <c r="F7" s="7" t="s">
        <v>4</v>
      </c>
      <c r="G7" s="7" t="s">
        <v>293</v>
      </c>
      <c r="H7" s="6">
        <v>15</v>
      </c>
      <c r="I7" s="77" t="s">
        <v>296</v>
      </c>
      <c r="J7" s="77" t="s">
        <v>328</v>
      </c>
      <c r="K7" s="145" t="s">
        <v>292</v>
      </c>
      <c r="L7" s="163"/>
    </row>
    <row r="8" spans="1:12" ht="30">
      <c r="A8" s="166"/>
      <c r="B8" s="170"/>
      <c r="C8" s="167"/>
      <c r="D8" s="168"/>
      <c r="E8" s="8">
        <v>60.000537999999999</v>
      </c>
      <c r="F8" s="7" t="s">
        <v>286</v>
      </c>
      <c r="G8" s="7" t="s">
        <v>291</v>
      </c>
      <c r="H8" s="6">
        <v>4</v>
      </c>
      <c r="I8" s="79" t="s">
        <v>297</v>
      </c>
      <c r="J8" s="79"/>
      <c r="K8" s="165"/>
      <c r="L8" s="163"/>
    </row>
    <row r="9" spans="1:12" ht="30">
      <c r="A9" s="166"/>
      <c r="B9" s="170"/>
      <c r="C9" s="167"/>
      <c r="D9" s="168"/>
      <c r="E9" s="8">
        <v>60.000534000000002</v>
      </c>
      <c r="F9" s="7" t="s">
        <v>287</v>
      </c>
      <c r="G9" s="8" t="s">
        <v>290</v>
      </c>
      <c r="H9" s="6">
        <v>1</v>
      </c>
      <c r="I9" s="77" t="s">
        <v>300</v>
      </c>
      <c r="J9" s="78" t="s">
        <v>329</v>
      </c>
      <c r="K9" s="165"/>
      <c r="L9" s="163"/>
    </row>
    <row r="10" spans="1:12">
      <c r="A10" s="166"/>
      <c r="B10" s="170"/>
      <c r="C10" s="167"/>
      <c r="D10" s="168"/>
      <c r="E10" s="8">
        <v>60.000546999999997</v>
      </c>
      <c r="F10" s="7" t="s">
        <v>33</v>
      </c>
      <c r="G10" s="8" t="s">
        <v>289</v>
      </c>
      <c r="H10" s="6">
        <v>3</v>
      </c>
      <c r="I10" s="77" t="s">
        <v>298</v>
      </c>
      <c r="J10" s="77"/>
      <c r="K10" s="165"/>
      <c r="L10" s="163"/>
    </row>
    <row r="11" spans="1:12" ht="30">
      <c r="A11" s="166"/>
      <c r="B11" s="170"/>
      <c r="C11" s="167"/>
      <c r="D11" s="168"/>
      <c r="E11" s="8">
        <v>60.000548999999999</v>
      </c>
      <c r="F11" s="7" t="s">
        <v>25</v>
      </c>
      <c r="G11" s="7" t="s">
        <v>288</v>
      </c>
      <c r="H11" s="6">
        <v>3</v>
      </c>
      <c r="I11" s="79" t="s">
        <v>299</v>
      </c>
      <c r="J11" s="77" t="s">
        <v>330</v>
      </c>
      <c r="K11" s="165"/>
      <c r="L11" s="163"/>
    </row>
  </sheetData>
  <mergeCells count="12">
    <mergeCell ref="L2:L6"/>
    <mergeCell ref="L7:L11"/>
    <mergeCell ref="K2:K6"/>
    <mergeCell ref="K7:K11"/>
    <mergeCell ref="A7:A11"/>
    <mergeCell ref="C7:C11"/>
    <mergeCell ref="D7:D11"/>
    <mergeCell ref="D2:D6"/>
    <mergeCell ref="C2:C6"/>
    <mergeCell ref="B2:B6"/>
    <mergeCell ref="A2:A6"/>
    <mergeCell ref="B7:B11"/>
  </mergeCells>
  <hyperlinks>
    <hyperlink ref="K7" r:id="rId1" xr:uid="{52F29D4F-2D98-45F2-9635-3682C420B86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topLeftCell="A7" workbookViewId="0">
      <selection activeCell="B10" sqref="B10:B16"/>
    </sheetView>
  </sheetViews>
  <sheetFormatPr defaultColWidth="88.140625" defaultRowHeight="15"/>
  <cols>
    <col min="1" max="1" width="10.42578125" style="14" bestFit="1" customWidth="1"/>
    <col min="2" max="2" width="14.85546875" style="14" bestFit="1" customWidth="1"/>
    <col min="3" max="3" width="9.42578125" style="14" bestFit="1" customWidth="1"/>
    <col min="4" max="4" width="20.140625" style="14" bestFit="1" customWidth="1"/>
    <col min="5" max="5" width="11" style="31" bestFit="1" customWidth="1"/>
    <col min="6" max="6" width="33.5703125" style="2" bestFit="1" customWidth="1"/>
    <col min="7" max="7" width="69.5703125" style="2" customWidth="1"/>
    <col min="8" max="8" width="7.140625" style="14" bestFit="1" customWidth="1"/>
    <col min="9" max="9" width="20.85546875" style="2" bestFit="1" customWidth="1"/>
    <col min="10" max="16384" width="88.140625" style="14"/>
  </cols>
  <sheetData>
    <row r="1" spans="1:9" ht="30">
      <c r="A1" s="21" t="s">
        <v>266</v>
      </c>
      <c r="B1" s="20" t="s">
        <v>1</v>
      </c>
      <c r="C1" s="21" t="s">
        <v>2</v>
      </c>
      <c r="D1" s="21" t="s">
        <v>123</v>
      </c>
      <c r="E1" s="32" t="s">
        <v>119</v>
      </c>
      <c r="F1" s="21" t="s">
        <v>94</v>
      </c>
      <c r="G1" s="21" t="s">
        <v>95</v>
      </c>
      <c r="H1" s="21" t="s">
        <v>133</v>
      </c>
      <c r="I1" s="21" t="s">
        <v>353</v>
      </c>
    </row>
    <row r="2" spans="1:9" ht="30">
      <c r="A2" s="171">
        <v>45667</v>
      </c>
      <c r="B2" s="126" t="s">
        <v>263</v>
      </c>
      <c r="C2" s="174">
        <v>100</v>
      </c>
      <c r="D2" s="164">
        <v>20</v>
      </c>
      <c r="E2" s="33">
        <v>60.000548000000002</v>
      </c>
      <c r="F2" s="7" t="s">
        <v>96</v>
      </c>
      <c r="G2" s="7" t="s">
        <v>134</v>
      </c>
      <c r="H2" s="33">
        <v>20</v>
      </c>
      <c r="I2" s="162" t="s">
        <v>354</v>
      </c>
    </row>
    <row r="3" spans="1:9">
      <c r="A3" s="172"/>
      <c r="B3" s="127"/>
      <c r="C3" s="175"/>
      <c r="D3" s="164"/>
      <c r="E3" s="33">
        <v>60.000537999999999</v>
      </c>
      <c r="F3" s="4" t="s">
        <v>23</v>
      </c>
      <c r="G3" s="4" t="s">
        <v>35</v>
      </c>
      <c r="H3" s="33">
        <v>11</v>
      </c>
      <c r="I3" s="162"/>
    </row>
    <row r="4" spans="1:9">
      <c r="A4" s="172"/>
      <c r="B4" s="127"/>
      <c r="C4" s="175"/>
      <c r="D4" s="164"/>
      <c r="E4" s="33">
        <v>60.000551000000002</v>
      </c>
      <c r="F4" s="4" t="s">
        <v>32</v>
      </c>
      <c r="G4" s="4" t="s">
        <v>36</v>
      </c>
      <c r="H4" s="33">
        <v>3</v>
      </c>
      <c r="I4" s="162"/>
    </row>
    <row r="5" spans="1:9">
      <c r="A5" s="172"/>
      <c r="B5" s="127"/>
      <c r="C5" s="175"/>
      <c r="D5" s="164"/>
      <c r="E5" s="33">
        <v>60.000855000000001</v>
      </c>
      <c r="F5" s="7" t="s">
        <v>98</v>
      </c>
      <c r="G5" s="7" t="s">
        <v>135</v>
      </c>
      <c r="H5" s="33">
        <v>6</v>
      </c>
      <c r="I5" s="162"/>
    </row>
    <row r="6" spans="1:9">
      <c r="A6" s="172"/>
      <c r="B6" s="127"/>
      <c r="C6" s="175"/>
      <c r="D6" s="164"/>
      <c r="E6" s="33" t="s">
        <v>131</v>
      </c>
      <c r="F6" s="4" t="s">
        <v>33</v>
      </c>
      <c r="G6" s="4" t="s">
        <v>37</v>
      </c>
      <c r="H6" s="33">
        <v>7</v>
      </c>
      <c r="I6" s="162"/>
    </row>
    <row r="7" spans="1:9" ht="30">
      <c r="A7" s="172"/>
      <c r="B7" s="127"/>
      <c r="C7" s="175"/>
      <c r="D7" s="164"/>
      <c r="E7" s="33" t="s">
        <v>132</v>
      </c>
      <c r="F7" s="4" t="s">
        <v>25</v>
      </c>
      <c r="G7" s="7" t="s">
        <v>136</v>
      </c>
      <c r="H7" s="33">
        <v>7</v>
      </c>
      <c r="I7" s="162"/>
    </row>
    <row r="8" spans="1:9" ht="60">
      <c r="A8" s="172"/>
      <c r="B8" s="127"/>
      <c r="C8" s="175"/>
      <c r="D8" s="164"/>
      <c r="E8" s="33">
        <v>60.000546</v>
      </c>
      <c r="F8" s="4" t="s">
        <v>34</v>
      </c>
      <c r="G8" s="4" t="s">
        <v>43</v>
      </c>
      <c r="H8" s="33">
        <v>10</v>
      </c>
      <c r="I8" s="162"/>
    </row>
    <row r="9" spans="1:9">
      <c r="A9" s="173"/>
      <c r="B9" s="130"/>
      <c r="C9" s="176"/>
      <c r="D9" s="164"/>
      <c r="E9" s="33">
        <v>60.000855000000001</v>
      </c>
      <c r="F9" s="4" t="s">
        <v>24</v>
      </c>
      <c r="G9" s="4" t="s">
        <v>38</v>
      </c>
      <c r="H9" s="33"/>
      <c r="I9" s="162"/>
    </row>
    <row r="10" spans="1:9">
      <c r="A10" s="169">
        <v>45602</v>
      </c>
      <c r="B10" s="162" t="s">
        <v>122</v>
      </c>
      <c r="C10" s="164">
        <v>50</v>
      </c>
      <c r="D10" s="164">
        <v>1</v>
      </c>
      <c r="E10" s="34">
        <v>60.000548000000002</v>
      </c>
      <c r="F10" s="7" t="s">
        <v>4</v>
      </c>
      <c r="G10" s="1" t="s">
        <v>104</v>
      </c>
      <c r="H10" s="33">
        <v>1</v>
      </c>
      <c r="I10" s="162"/>
    </row>
    <row r="11" spans="1:9">
      <c r="A11" s="169"/>
      <c r="B11" s="162"/>
      <c r="C11" s="164"/>
      <c r="D11" s="164"/>
      <c r="E11" s="34">
        <v>175.000077</v>
      </c>
      <c r="F11" s="7" t="s">
        <v>100</v>
      </c>
      <c r="G11" s="1" t="s">
        <v>105</v>
      </c>
      <c r="H11" s="33">
        <v>1</v>
      </c>
      <c r="I11" s="162"/>
    </row>
    <row r="12" spans="1:9">
      <c r="A12" s="169"/>
      <c r="B12" s="162"/>
      <c r="C12" s="164"/>
      <c r="D12" s="164"/>
      <c r="E12" s="36" t="s">
        <v>130</v>
      </c>
      <c r="F12" s="7" t="s">
        <v>21</v>
      </c>
      <c r="G12" s="1" t="s">
        <v>106</v>
      </c>
      <c r="H12" s="33">
        <v>1</v>
      </c>
      <c r="I12" s="162"/>
    </row>
    <row r="13" spans="1:9">
      <c r="A13" s="169"/>
      <c r="B13" s="162"/>
      <c r="C13" s="164"/>
      <c r="D13" s="164"/>
      <c r="E13" s="34">
        <v>60.000503999999999</v>
      </c>
      <c r="F13" s="7" t="s">
        <v>101</v>
      </c>
      <c r="G13" s="1" t="s">
        <v>107</v>
      </c>
      <c r="H13" s="33">
        <v>1</v>
      </c>
      <c r="I13" s="162"/>
    </row>
    <row r="14" spans="1:9">
      <c r="A14" s="169"/>
      <c r="B14" s="162"/>
      <c r="C14" s="164"/>
      <c r="D14" s="164"/>
      <c r="E14" s="34">
        <v>60.000548999999999</v>
      </c>
      <c r="F14" s="1" t="s">
        <v>102</v>
      </c>
      <c r="G14" s="1" t="s">
        <v>106</v>
      </c>
      <c r="H14" s="33">
        <v>1</v>
      </c>
      <c r="I14" s="162"/>
    </row>
    <row r="15" spans="1:9">
      <c r="A15" s="169"/>
      <c r="B15" s="162"/>
      <c r="C15" s="164"/>
      <c r="D15" s="164"/>
      <c r="E15" s="34">
        <v>60.000512000000001</v>
      </c>
      <c r="F15" s="1" t="s">
        <v>103</v>
      </c>
      <c r="G15" s="1" t="s">
        <v>108</v>
      </c>
      <c r="H15" s="33">
        <v>1</v>
      </c>
      <c r="I15" s="162"/>
    </row>
    <row r="16" spans="1:9">
      <c r="A16" s="169"/>
      <c r="B16" s="162"/>
      <c r="C16" s="164"/>
      <c r="D16" s="164"/>
      <c r="E16" s="34">
        <v>60.000514000000003</v>
      </c>
      <c r="F16" s="1" t="s">
        <v>99</v>
      </c>
      <c r="G16" s="1" t="s">
        <v>109</v>
      </c>
      <c r="H16" s="33">
        <v>1</v>
      </c>
      <c r="I16" s="162"/>
    </row>
  </sheetData>
  <mergeCells count="9">
    <mergeCell ref="I2:I16"/>
    <mergeCell ref="A10:A16"/>
    <mergeCell ref="D2:D9"/>
    <mergeCell ref="A2:A9"/>
    <mergeCell ref="D10:D16"/>
    <mergeCell ref="B2:B9"/>
    <mergeCell ref="C2:C9"/>
    <mergeCell ref="C10:C16"/>
    <mergeCell ref="B10:B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"/>
  <sheetViews>
    <sheetView workbookViewId="0">
      <selection activeCell="I2" sqref="I2:I10"/>
    </sheetView>
  </sheetViews>
  <sheetFormatPr defaultColWidth="111.28515625" defaultRowHeight="15"/>
  <cols>
    <col min="1" max="1" width="10.85546875" style="2" bestFit="1" customWidth="1"/>
    <col min="2" max="2" width="14.85546875" style="2" bestFit="1" customWidth="1"/>
    <col min="3" max="3" width="9.42578125" style="14" bestFit="1" customWidth="1"/>
    <col min="4" max="4" width="15.28515625" style="14" bestFit="1" customWidth="1"/>
    <col min="5" max="5" width="17.5703125" style="14" bestFit="1" customWidth="1"/>
    <col min="6" max="6" width="44.5703125" style="14" customWidth="1"/>
    <col min="7" max="7" width="53" style="14" bestFit="1" customWidth="1"/>
    <col min="8" max="8" width="7.140625" style="14" bestFit="1" customWidth="1"/>
    <col min="9" max="9" width="15.28515625" style="14" customWidth="1"/>
    <col min="10" max="16384" width="111.28515625" style="14"/>
  </cols>
  <sheetData>
    <row r="1" spans="1:9" ht="45">
      <c r="A1" s="21" t="s">
        <v>266</v>
      </c>
      <c r="B1" s="21" t="s">
        <v>1</v>
      </c>
      <c r="C1" s="21" t="s">
        <v>2</v>
      </c>
      <c r="D1" s="21" t="s">
        <v>123</v>
      </c>
      <c r="E1" s="21" t="s">
        <v>119</v>
      </c>
      <c r="F1" s="21" t="s">
        <v>94</v>
      </c>
      <c r="G1" s="21" t="s">
        <v>95</v>
      </c>
      <c r="H1" s="21" t="s">
        <v>133</v>
      </c>
      <c r="I1" s="21" t="s">
        <v>353</v>
      </c>
    </row>
    <row r="2" spans="1:9" ht="60">
      <c r="A2" s="178" t="s">
        <v>270</v>
      </c>
      <c r="B2" s="162" t="s">
        <v>262</v>
      </c>
      <c r="C2" s="164">
        <v>500</v>
      </c>
      <c r="D2" s="164">
        <v>85</v>
      </c>
      <c r="E2" s="8" t="s">
        <v>145</v>
      </c>
      <c r="F2" s="1" t="s">
        <v>14</v>
      </c>
      <c r="G2" s="1" t="s">
        <v>55</v>
      </c>
      <c r="H2" s="33">
        <v>6</v>
      </c>
      <c r="I2" s="126" t="s">
        <v>355</v>
      </c>
    </row>
    <row r="3" spans="1:9" ht="60">
      <c r="A3" s="178"/>
      <c r="B3" s="162"/>
      <c r="C3" s="164"/>
      <c r="D3" s="164"/>
      <c r="E3" s="100" t="s">
        <v>153</v>
      </c>
      <c r="F3" s="100" t="s">
        <v>150</v>
      </c>
      <c r="G3" s="101" t="s">
        <v>356</v>
      </c>
      <c r="H3" s="102">
        <v>85</v>
      </c>
      <c r="I3" s="127"/>
    </row>
    <row r="4" spans="1:9">
      <c r="A4" s="178"/>
      <c r="B4" s="162"/>
      <c r="C4" s="164"/>
      <c r="D4" s="164"/>
      <c r="E4" s="8" t="s">
        <v>146</v>
      </c>
      <c r="F4" s="3" t="s">
        <v>5</v>
      </c>
      <c r="G4" s="7" t="s">
        <v>54</v>
      </c>
      <c r="H4" s="33">
        <v>1</v>
      </c>
      <c r="I4" s="127"/>
    </row>
    <row r="5" spans="1:9">
      <c r="A5" s="178"/>
      <c r="B5" s="162"/>
      <c r="C5" s="164"/>
      <c r="D5" s="164"/>
      <c r="E5" s="8" t="s">
        <v>147</v>
      </c>
      <c r="F5" s="3" t="s">
        <v>15</v>
      </c>
      <c r="G5" s="8" t="s">
        <v>53</v>
      </c>
      <c r="H5" s="33">
        <v>21</v>
      </c>
      <c r="I5" s="127"/>
    </row>
    <row r="6" spans="1:9" ht="30">
      <c r="A6" s="178"/>
      <c r="B6" s="162"/>
      <c r="C6" s="164"/>
      <c r="D6" s="164"/>
      <c r="E6" s="8" t="s">
        <v>148</v>
      </c>
      <c r="F6" s="3" t="s">
        <v>16</v>
      </c>
      <c r="G6" s="1" t="s">
        <v>56</v>
      </c>
      <c r="H6" s="33">
        <v>4</v>
      </c>
      <c r="I6" s="127"/>
    </row>
    <row r="7" spans="1:9" ht="45">
      <c r="A7" s="178"/>
      <c r="B7" s="162"/>
      <c r="C7" s="164"/>
      <c r="D7" s="164"/>
      <c r="E7" s="8" t="s">
        <v>149</v>
      </c>
      <c r="F7" s="3" t="s">
        <v>17</v>
      </c>
      <c r="G7" s="7" t="s">
        <v>57</v>
      </c>
      <c r="H7" s="33">
        <v>5</v>
      </c>
      <c r="I7" s="127"/>
    </row>
    <row r="8" spans="1:9">
      <c r="A8" s="177">
        <v>45591</v>
      </c>
      <c r="B8" s="163" t="s">
        <v>261</v>
      </c>
      <c r="C8" s="164">
        <v>50</v>
      </c>
      <c r="D8" s="164">
        <v>28</v>
      </c>
      <c r="E8" s="100" t="s">
        <v>153</v>
      </c>
      <c r="F8" s="100" t="s">
        <v>150</v>
      </c>
      <c r="G8" s="100" t="s">
        <v>156</v>
      </c>
      <c r="H8" s="102">
        <v>28</v>
      </c>
      <c r="I8" s="127"/>
    </row>
    <row r="9" spans="1:9">
      <c r="A9" s="177"/>
      <c r="B9" s="163"/>
      <c r="C9" s="164"/>
      <c r="D9" s="164"/>
      <c r="E9" s="8" t="s">
        <v>154</v>
      </c>
      <c r="F9" s="7" t="s">
        <v>151</v>
      </c>
      <c r="G9" s="7" t="s">
        <v>157</v>
      </c>
      <c r="H9" s="33">
        <v>1</v>
      </c>
      <c r="I9" s="127"/>
    </row>
    <row r="10" spans="1:9">
      <c r="A10" s="177"/>
      <c r="B10" s="163"/>
      <c r="C10" s="164"/>
      <c r="D10" s="164"/>
      <c r="E10" s="8" t="s">
        <v>155</v>
      </c>
      <c r="F10" s="8" t="s">
        <v>152</v>
      </c>
      <c r="G10" s="7" t="s">
        <v>158</v>
      </c>
      <c r="H10" s="33">
        <v>1</v>
      </c>
      <c r="I10" s="130"/>
    </row>
  </sheetData>
  <mergeCells count="9">
    <mergeCell ref="I2:I10"/>
    <mergeCell ref="D8:D10"/>
    <mergeCell ref="C8:C10"/>
    <mergeCell ref="B8:B10"/>
    <mergeCell ref="A8:A10"/>
    <mergeCell ref="D2:D7"/>
    <mergeCell ref="C2:C7"/>
    <mergeCell ref="B2:B7"/>
    <mergeCell ref="A2:A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topLeftCell="C1" workbookViewId="0">
      <selection activeCell="G5" sqref="G5"/>
    </sheetView>
  </sheetViews>
  <sheetFormatPr defaultColWidth="64.42578125" defaultRowHeight="15"/>
  <cols>
    <col min="1" max="1" width="20.85546875" style="42" bestFit="1" customWidth="1"/>
    <col min="2" max="2" width="18" style="42" bestFit="1" customWidth="1"/>
    <col min="3" max="3" width="45" style="42" bestFit="1" customWidth="1"/>
    <col min="4" max="4" width="55.28515625" style="40" bestFit="1" customWidth="1"/>
    <col min="5" max="5" width="8.7109375" style="45" bestFit="1" customWidth="1"/>
    <col min="6" max="6" width="29.7109375" style="40" bestFit="1" customWidth="1"/>
    <col min="7" max="7" width="35.85546875" style="42" customWidth="1"/>
    <col min="8" max="16384" width="64.42578125" style="42"/>
  </cols>
  <sheetData>
    <row r="1" spans="1:7">
      <c r="A1" s="72" t="s">
        <v>0</v>
      </c>
      <c r="B1" s="72" t="s">
        <v>215</v>
      </c>
      <c r="C1" s="72" t="s">
        <v>95</v>
      </c>
      <c r="D1" s="73" t="s">
        <v>277</v>
      </c>
      <c r="E1" s="74" t="s">
        <v>258</v>
      </c>
      <c r="F1" s="73" t="s">
        <v>216</v>
      </c>
      <c r="G1" s="73" t="s">
        <v>353</v>
      </c>
    </row>
    <row r="2" spans="1:7" ht="30">
      <c r="A2" s="37" t="s">
        <v>217</v>
      </c>
      <c r="B2" s="37">
        <v>60.000826000000004</v>
      </c>
      <c r="C2" s="67" t="s">
        <v>218</v>
      </c>
      <c r="D2" s="60" t="s">
        <v>278</v>
      </c>
      <c r="E2" s="43">
        <v>2</v>
      </c>
      <c r="F2" s="60" t="s">
        <v>283</v>
      </c>
      <c r="G2" s="64" t="s">
        <v>359</v>
      </c>
    </row>
    <row r="3" spans="1:7">
      <c r="A3" s="60" t="s">
        <v>217</v>
      </c>
      <c r="B3" s="59">
        <v>60.000801000000003</v>
      </c>
      <c r="C3" s="67" t="s">
        <v>219</v>
      </c>
      <c r="D3" s="60" t="s">
        <v>223</v>
      </c>
      <c r="E3" s="43">
        <v>3</v>
      </c>
      <c r="F3" s="60" t="s">
        <v>282</v>
      </c>
      <c r="G3" s="64" t="s">
        <v>359</v>
      </c>
    </row>
    <row r="4" spans="1:7">
      <c r="A4" s="60" t="s">
        <v>217</v>
      </c>
      <c r="B4" s="75" t="s">
        <v>187</v>
      </c>
      <c r="C4" s="67" t="s">
        <v>220</v>
      </c>
      <c r="D4" s="60" t="s">
        <v>224</v>
      </c>
      <c r="E4" s="43">
        <v>2</v>
      </c>
      <c r="F4" s="60" t="s">
        <v>282</v>
      </c>
      <c r="G4" s="64" t="s">
        <v>359</v>
      </c>
    </row>
    <row r="5" spans="1:7" ht="30">
      <c r="A5" s="60" t="s">
        <v>217</v>
      </c>
      <c r="B5" s="59">
        <v>50.000328000000003</v>
      </c>
      <c r="C5" s="67" t="s">
        <v>221</v>
      </c>
      <c r="D5" s="60" t="s">
        <v>225</v>
      </c>
      <c r="E5" s="43">
        <v>4</v>
      </c>
      <c r="F5" s="60" t="s">
        <v>282</v>
      </c>
      <c r="G5" s="87" t="s">
        <v>366</v>
      </c>
    </row>
    <row r="6" spans="1:7">
      <c r="A6" s="60" t="s">
        <v>217</v>
      </c>
      <c r="B6" s="105">
        <v>60.000802</v>
      </c>
      <c r="C6" s="67" t="s">
        <v>222</v>
      </c>
      <c r="D6" s="60" t="s">
        <v>226</v>
      </c>
      <c r="E6" s="43">
        <v>2</v>
      </c>
      <c r="F6" s="60" t="s">
        <v>282</v>
      </c>
      <c r="G6" s="64" t="s">
        <v>359</v>
      </c>
    </row>
    <row r="7" spans="1:7">
      <c r="A7" s="37" t="s">
        <v>227</v>
      </c>
      <c r="B7" s="106" t="s">
        <v>153</v>
      </c>
      <c r="C7" s="37" t="s">
        <v>150</v>
      </c>
      <c r="D7" s="60" t="s">
        <v>230</v>
      </c>
      <c r="E7" s="43">
        <v>6</v>
      </c>
      <c r="F7" s="60" t="s">
        <v>279</v>
      </c>
      <c r="G7" s="64" t="s">
        <v>359</v>
      </c>
    </row>
    <row r="8" spans="1:7" ht="30">
      <c r="A8" s="37" t="s">
        <v>227</v>
      </c>
      <c r="B8" s="76" t="s">
        <v>228</v>
      </c>
      <c r="C8" s="37" t="s">
        <v>229</v>
      </c>
      <c r="D8" s="60" t="s">
        <v>231</v>
      </c>
      <c r="E8" s="43">
        <v>1</v>
      </c>
      <c r="F8" s="60" t="s">
        <v>279</v>
      </c>
      <c r="G8" s="64" t="s">
        <v>359</v>
      </c>
    </row>
    <row r="9" spans="1:7">
      <c r="A9" s="37" t="s">
        <v>227</v>
      </c>
      <c r="B9" s="59" t="s">
        <v>153</v>
      </c>
      <c r="C9" s="37" t="s">
        <v>150</v>
      </c>
      <c r="D9" s="60" t="s">
        <v>230</v>
      </c>
      <c r="E9" s="43">
        <v>7</v>
      </c>
      <c r="F9" s="60" t="s">
        <v>280</v>
      </c>
      <c r="G9" s="64" t="s">
        <v>359</v>
      </c>
    </row>
    <row r="10" spans="1:7" ht="30">
      <c r="A10" s="37" t="s">
        <v>276</v>
      </c>
      <c r="B10" s="67">
        <v>60.000402999999999</v>
      </c>
      <c r="C10" s="67" t="s">
        <v>232</v>
      </c>
      <c r="D10" s="60" t="s">
        <v>246</v>
      </c>
      <c r="E10" s="43">
        <v>1</v>
      </c>
      <c r="F10" s="60" t="s">
        <v>279</v>
      </c>
      <c r="G10" s="87" t="s">
        <v>367</v>
      </c>
    </row>
    <row r="11" spans="1:7">
      <c r="A11" s="37" t="s">
        <v>111</v>
      </c>
      <c r="B11" s="67" t="s">
        <v>144</v>
      </c>
      <c r="C11" s="37" t="s">
        <v>3</v>
      </c>
      <c r="D11" s="60" t="s">
        <v>247</v>
      </c>
      <c r="E11" s="43">
        <v>2</v>
      </c>
      <c r="F11" s="60" t="s">
        <v>279</v>
      </c>
      <c r="G11" s="64" t="s">
        <v>359</v>
      </c>
    </row>
    <row r="12" spans="1:7" ht="30">
      <c r="A12" s="37" t="s">
        <v>111</v>
      </c>
      <c r="B12" s="67">
        <v>50.000328000000003</v>
      </c>
      <c r="C12" s="37" t="s">
        <v>161</v>
      </c>
      <c r="D12" s="60" t="s">
        <v>248</v>
      </c>
      <c r="E12" s="43">
        <v>5</v>
      </c>
      <c r="F12" s="60" t="s">
        <v>279</v>
      </c>
      <c r="G12" s="87" t="s">
        <v>366</v>
      </c>
    </row>
    <row r="13" spans="1:7">
      <c r="A13" s="37" t="s">
        <v>111</v>
      </c>
      <c r="B13" s="67" t="s">
        <v>233</v>
      </c>
      <c r="C13" s="37" t="s">
        <v>234</v>
      </c>
      <c r="D13" s="60" t="s">
        <v>249</v>
      </c>
      <c r="E13" s="43" t="s">
        <v>284</v>
      </c>
      <c r="F13" s="60" t="s">
        <v>279</v>
      </c>
      <c r="G13" s="64" t="s">
        <v>359</v>
      </c>
    </row>
    <row r="14" spans="1:7" ht="45">
      <c r="A14" s="37" t="s">
        <v>111</v>
      </c>
      <c r="B14" s="67" t="s">
        <v>198</v>
      </c>
      <c r="C14" s="37" t="s">
        <v>12</v>
      </c>
      <c r="D14" s="60" t="s">
        <v>362</v>
      </c>
      <c r="E14" s="43">
        <v>1</v>
      </c>
      <c r="F14" s="60" t="s">
        <v>279</v>
      </c>
      <c r="G14" s="87" t="s">
        <v>368</v>
      </c>
    </row>
    <row r="15" spans="1:7">
      <c r="A15" s="37" t="s">
        <v>111</v>
      </c>
      <c r="B15" s="67">
        <v>175.000077</v>
      </c>
      <c r="C15" s="37" t="s">
        <v>235</v>
      </c>
      <c r="D15" s="60" t="s">
        <v>250</v>
      </c>
      <c r="E15" s="43">
        <v>1</v>
      </c>
      <c r="F15" s="60" t="s">
        <v>279</v>
      </c>
      <c r="G15" s="64" t="s">
        <v>359</v>
      </c>
    </row>
    <row r="16" spans="1:7">
      <c r="A16" s="37" t="s">
        <v>111</v>
      </c>
      <c r="B16" s="67" t="s">
        <v>236</v>
      </c>
      <c r="C16" s="37" t="s">
        <v>237</v>
      </c>
      <c r="D16" s="60" t="s">
        <v>251</v>
      </c>
      <c r="E16" s="43">
        <v>1</v>
      </c>
      <c r="F16" s="60" t="s">
        <v>279</v>
      </c>
      <c r="G16" s="64" t="s">
        <v>359</v>
      </c>
    </row>
    <row r="17" spans="1:7">
      <c r="A17" s="37" t="s">
        <v>111</v>
      </c>
      <c r="B17" s="67" t="s">
        <v>236</v>
      </c>
      <c r="C17" s="37" t="s">
        <v>237</v>
      </c>
      <c r="D17" s="60" t="s">
        <v>251</v>
      </c>
      <c r="E17" s="43">
        <v>1</v>
      </c>
      <c r="F17" s="60" t="s">
        <v>279</v>
      </c>
      <c r="G17" s="64" t="s">
        <v>359</v>
      </c>
    </row>
    <row r="18" spans="1:7">
      <c r="A18" s="37" t="s">
        <v>111</v>
      </c>
      <c r="B18" s="67" t="s">
        <v>238</v>
      </c>
      <c r="C18" s="37" t="s">
        <v>239</v>
      </c>
      <c r="D18" s="60" t="s">
        <v>252</v>
      </c>
      <c r="E18" s="43">
        <v>1</v>
      </c>
      <c r="F18" s="60" t="s">
        <v>279</v>
      </c>
      <c r="G18" s="64" t="s">
        <v>359</v>
      </c>
    </row>
    <row r="19" spans="1:7">
      <c r="A19" s="37" t="s">
        <v>227</v>
      </c>
      <c r="B19" s="67" t="s">
        <v>153</v>
      </c>
      <c r="C19" s="37" t="s">
        <v>240</v>
      </c>
      <c r="D19" s="60" t="s">
        <v>230</v>
      </c>
      <c r="E19" s="43">
        <v>1</v>
      </c>
      <c r="F19" s="60" t="s">
        <v>279</v>
      </c>
      <c r="G19" s="64" t="s">
        <v>359</v>
      </c>
    </row>
    <row r="20" spans="1:7">
      <c r="A20" s="37" t="s">
        <v>241</v>
      </c>
      <c r="B20" s="67" t="s">
        <v>140</v>
      </c>
      <c r="C20" s="37" t="s">
        <v>242</v>
      </c>
      <c r="D20" s="60" t="s">
        <v>253</v>
      </c>
      <c r="E20" s="43">
        <v>1</v>
      </c>
      <c r="F20" s="60" t="s">
        <v>279</v>
      </c>
      <c r="G20" s="64" t="s">
        <v>359</v>
      </c>
    </row>
    <row r="21" spans="1:7">
      <c r="A21" s="37" t="s">
        <v>241</v>
      </c>
      <c r="B21" s="67" t="s">
        <v>187</v>
      </c>
      <c r="C21" s="37" t="s">
        <v>243</v>
      </c>
      <c r="D21" s="60" t="s">
        <v>254</v>
      </c>
      <c r="E21" s="43">
        <v>2</v>
      </c>
      <c r="F21" s="60" t="s">
        <v>279</v>
      </c>
      <c r="G21" s="64" t="s">
        <v>359</v>
      </c>
    </row>
    <row r="22" spans="1:7">
      <c r="A22" s="37" t="s">
        <v>241</v>
      </c>
      <c r="B22" s="67" t="s">
        <v>159</v>
      </c>
      <c r="C22" s="37" t="s">
        <v>22</v>
      </c>
      <c r="D22" s="60" t="s">
        <v>255</v>
      </c>
      <c r="E22" s="43">
        <v>1</v>
      </c>
      <c r="F22" s="60" t="s">
        <v>279</v>
      </c>
      <c r="G22" s="64" t="s">
        <v>359</v>
      </c>
    </row>
    <row r="23" spans="1:7">
      <c r="A23" s="37" t="s">
        <v>241</v>
      </c>
      <c r="B23" s="67" t="s">
        <v>159</v>
      </c>
      <c r="C23" s="37" t="s">
        <v>22</v>
      </c>
      <c r="D23" s="60" t="s">
        <v>255</v>
      </c>
      <c r="E23" s="43">
        <v>1</v>
      </c>
      <c r="F23" s="60" t="s">
        <v>279</v>
      </c>
      <c r="G23" s="64" t="s">
        <v>359</v>
      </c>
    </row>
    <row r="24" spans="1:7">
      <c r="A24" s="37" t="s">
        <v>241</v>
      </c>
      <c r="B24" s="67" t="s">
        <v>159</v>
      </c>
      <c r="C24" s="37" t="s">
        <v>22</v>
      </c>
      <c r="D24" s="60" t="s">
        <v>255</v>
      </c>
      <c r="E24" s="43">
        <v>1</v>
      </c>
      <c r="F24" s="60" t="s">
        <v>279</v>
      </c>
      <c r="G24" s="64" t="s">
        <v>359</v>
      </c>
    </row>
    <row r="25" spans="1:7">
      <c r="A25" s="37" t="s">
        <v>244</v>
      </c>
      <c r="B25" s="67">
        <v>60.000537999999999</v>
      </c>
      <c r="C25" s="37" t="s">
        <v>245</v>
      </c>
      <c r="D25" s="60" t="s">
        <v>256</v>
      </c>
      <c r="E25" s="43">
        <v>1</v>
      </c>
      <c r="F25" s="60" t="s">
        <v>279</v>
      </c>
      <c r="G25" s="64" t="s">
        <v>359</v>
      </c>
    </row>
    <row r="26" spans="1:7">
      <c r="A26" s="37" t="s">
        <v>244</v>
      </c>
      <c r="B26" s="67">
        <v>60.000548999999999</v>
      </c>
      <c r="C26" s="37" t="s">
        <v>25</v>
      </c>
      <c r="D26" s="60" t="s">
        <v>257</v>
      </c>
      <c r="E26" s="43">
        <v>1</v>
      </c>
      <c r="F26" s="60" t="s">
        <v>279</v>
      </c>
      <c r="G26" s="64" t="s">
        <v>359</v>
      </c>
    </row>
    <row r="27" spans="1:7">
      <c r="A27" s="37" t="s">
        <v>111</v>
      </c>
      <c r="B27" s="67" t="s">
        <v>138</v>
      </c>
      <c r="C27" s="37" t="s">
        <v>11</v>
      </c>
      <c r="D27" s="60" t="s">
        <v>247</v>
      </c>
      <c r="E27" s="43">
        <v>2</v>
      </c>
      <c r="F27" s="60" t="s">
        <v>279</v>
      </c>
      <c r="G27" s="64" t="s">
        <v>359</v>
      </c>
    </row>
    <row r="28" spans="1:7" ht="30">
      <c r="A28" s="37" t="s">
        <v>111</v>
      </c>
      <c r="B28" s="67">
        <v>175.00007600000001</v>
      </c>
      <c r="C28" s="64" t="s">
        <v>213</v>
      </c>
      <c r="D28" s="60" t="s">
        <v>214</v>
      </c>
      <c r="E28" s="58">
        <v>9</v>
      </c>
      <c r="F28" s="37" t="s">
        <v>281</v>
      </c>
      <c r="G28" s="64" t="s">
        <v>359</v>
      </c>
    </row>
  </sheetData>
  <autoFilter ref="A1:G28" xr:uid="{00000000-0001-0000-09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of SKD Kits Pendings </vt:lpstr>
      <vt:lpstr>TS-III overall Report </vt:lpstr>
      <vt:lpstr>TS-III Basic SKD Issues</vt:lpstr>
      <vt:lpstr>TS-III Analog SKD issues</vt:lpstr>
      <vt:lpstr>TS-III Nellcor SKD issues</vt:lpstr>
      <vt:lpstr>TS-III Masimo SKD issues</vt:lpstr>
      <vt:lpstr>Q5 Digital SKD issues</vt:lpstr>
      <vt:lpstr>Q5 Nellcor SKD issues</vt:lpstr>
      <vt:lpstr>M10 SKD issues</vt:lpstr>
      <vt:lpstr>Replacement Rejection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 Ananda Gurunathan</dc:creator>
  <cp:lastModifiedBy>J. Senthil Kumar</cp:lastModifiedBy>
  <cp:lastPrinted>2025-03-13T04:13:27Z</cp:lastPrinted>
  <dcterms:created xsi:type="dcterms:W3CDTF">2025-01-27T09:02:52Z</dcterms:created>
  <dcterms:modified xsi:type="dcterms:W3CDTF">2025-04-26T05:55:59Z</dcterms:modified>
</cp:coreProperties>
</file>